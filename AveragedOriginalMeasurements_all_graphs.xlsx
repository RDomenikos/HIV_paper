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rafaeldomenikos/Library/Mobile Documents/com~apple~CloudDocs/My_Files_Cloud/Medicinal Trials Analysis/Trials V8 with boostrap/"/>
    </mc:Choice>
  </mc:AlternateContent>
  <xr:revisionPtr revIDLastSave="0" documentId="13_ncr:1_{7517F4DD-DD25-7B40-BDE6-CFA0719F8B37}" xr6:coauthVersionLast="47" xr6:coauthVersionMax="47" xr10:uidLastSave="{00000000-0000-0000-0000-000000000000}"/>
  <bookViews>
    <workbookView xWindow="0" yWindow="760" windowWidth="30240" windowHeight="17620" activeTab="2" xr2:uid="{00000000-000D-0000-FFFF-FFFF00000000}"/>
  </bookViews>
  <sheets>
    <sheet name="NNRTI" sheetId="1" r:id="rId1"/>
    <sheet name="NRTI" sheetId="2" r:id="rId2"/>
    <sheet name="P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8" i="3" l="1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" i="3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1" i="1"/>
  <c r="N22" i="1"/>
  <c r="N23" i="1"/>
  <c r="N24" i="1"/>
  <c r="N25" i="1"/>
  <c r="N2" i="1"/>
  <c r="N27" i="1" s="1"/>
  <c r="E28" i="3"/>
  <c r="F28" i="3"/>
  <c r="G28" i="3"/>
  <c r="H28" i="3"/>
  <c r="I28" i="3"/>
  <c r="J28" i="3"/>
  <c r="D28" i="3"/>
  <c r="E27" i="3"/>
  <c r="F27" i="3"/>
  <c r="G27" i="3"/>
  <c r="H27" i="3"/>
  <c r="I27" i="3"/>
  <c r="J27" i="3"/>
  <c r="E27" i="1"/>
  <c r="F27" i="1"/>
  <c r="F30" i="1" s="1"/>
  <c r="G27" i="1"/>
  <c r="G30" i="1" s="1"/>
  <c r="H27" i="1"/>
  <c r="I27" i="1"/>
  <c r="J27" i="1"/>
  <c r="D27" i="3"/>
  <c r="D27" i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" i="3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" i="1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" i="3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" i="1"/>
  <c r="E30" i="1" l="1"/>
  <c r="E31" i="1" s="1"/>
  <c r="D30" i="1"/>
  <c r="D31" i="1" s="1"/>
  <c r="J30" i="1"/>
  <c r="J31" i="1" s="1"/>
  <c r="F31" i="1"/>
  <c r="I30" i="1"/>
  <c r="I31" i="1" s="1"/>
  <c r="G31" i="1"/>
  <c r="H30" i="1"/>
  <c r="H31" i="1" s="1"/>
</calcChain>
</file>

<file path=xl/sharedStrings.xml><?xml version="1.0" encoding="utf-8"?>
<sst xmlns="http://schemas.openxmlformats.org/spreadsheetml/2006/main" count="43" uniqueCount="19">
  <si>
    <t>VISIT</t>
  </si>
  <si>
    <t>VLOAD</t>
  </si>
  <si>
    <t>LLQ_VL</t>
  </si>
  <si>
    <t>HSRAT</t>
  </si>
  <si>
    <t>SGOTLF</t>
  </si>
  <si>
    <t>SGPTLF</t>
  </si>
  <si>
    <t>PHOSLF</t>
  </si>
  <si>
    <t>ALBULF</t>
  </si>
  <si>
    <t>BUN_LF</t>
  </si>
  <si>
    <t>CREALF</t>
  </si>
  <si>
    <t>Heat</t>
  </si>
  <si>
    <t>Diff VLOAD</t>
  </si>
  <si>
    <t>HSRAT diff</t>
  </si>
  <si>
    <t>VLOAD diff</t>
  </si>
  <si>
    <t>AV NNRTI</t>
  </si>
  <si>
    <t>AV PI</t>
  </si>
  <si>
    <t>MEDIAN NNRTI</t>
  </si>
  <si>
    <t>MEDIAN PI</t>
  </si>
  <si>
    <t>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</si>
</sst>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13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4"/>
            <c:dispRSqr val="1"/>
            <c:dispEq val="1"/>
            <c:trendlineLbl>
              <c:layout>
                <c:manualLayout>
                  <c:x val="-0.21213648293963255"/>
                  <c:y val="7.982757363662874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GR"/>
                </a:p>
              </c:txPr>
            </c:trendlineLbl>
          </c:trendline>
          <c:xVal>
            <c:numRef>
              <c:f>NNRTI!$A$2:$A$26</c:f>
              <c:numCache>
                <c:formatCode>General</c:formatCode>
                <c:ptCount val="25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  <c:pt idx="22">
                  <c:v>31</c:v>
                </c:pt>
                <c:pt idx="23">
                  <c:v>32</c:v>
                </c:pt>
                <c:pt idx="24">
                  <c:v>33</c:v>
                </c:pt>
              </c:numCache>
            </c:numRef>
          </c:xVal>
          <c:yVal>
            <c:numRef>
              <c:f>NNRTI!$K$2:$K$26</c:f>
              <c:numCache>
                <c:formatCode>General</c:formatCode>
                <c:ptCount val="25"/>
                <c:pt idx="0">
                  <c:v>10.66323057344726</c:v>
                </c:pt>
                <c:pt idx="2">
                  <c:v>9.3020952205648637</c:v>
                </c:pt>
                <c:pt idx="3">
                  <c:v>15.482886635841149</c:v>
                </c:pt>
                <c:pt idx="4">
                  <c:v>5.0249133862845907</c:v>
                </c:pt>
                <c:pt idx="5">
                  <c:v>9.1448183497678386</c:v>
                </c:pt>
                <c:pt idx="6">
                  <c:v>7.8713098371522277</c:v>
                </c:pt>
                <c:pt idx="7">
                  <c:v>9.4684717058708099</c:v>
                </c:pt>
                <c:pt idx="8">
                  <c:v>7.5008530810846263</c:v>
                </c:pt>
                <c:pt idx="9">
                  <c:v>8.0515071976077763</c:v>
                </c:pt>
                <c:pt idx="10">
                  <c:v>4.3970206093215483</c:v>
                </c:pt>
                <c:pt idx="11">
                  <c:v>6.2491789636370143</c:v>
                </c:pt>
                <c:pt idx="12">
                  <c:v>7.7964263620992957</c:v>
                </c:pt>
                <c:pt idx="13">
                  <c:v>5.9568064258785629</c:v>
                </c:pt>
                <c:pt idx="14">
                  <c:v>4.4122169289415254</c:v>
                </c:pt>
                <c:pt idx="15">
                  <c:v>5.5494828011721973</c:v>
                </c:pt>
                <c:pt idx="16">
                  <c:v>6.1549577689438726</c:v>
                </c:pt>
                <c:pt idx="17">
                  <c:v>7.4926664853252696</c:v>
                </c:pt>
                <c:pt idx="19">
                  <c:v>2.4310268913742301</c:v>
                </c:pt>
                <c:pt idx="20">
                  <c:v>1.692334040848084</c:v>
                </c:pt>
                <c:pt idx="21">
                  <c:v>3.4785791010143621</c:v>
                </c:pt>
                <c:pt idx="22">
                  <c:v>5.9805468804395474</c:v>
                </c:pt>
                <c:pt idx="23">
                  <c:v>4.2439544862230907</c:v>
                </c:pt>
                <c:pt idx="24">
                  <c:v>7.1390032050216714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D9-9C43-9FF3-010127C5C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3630720"/>
        <c:axId val="1333092496"/>
      </c:scatterChart>
      <c:valAx>
        <c:axId val="133363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Visit</a:t>
                </a:r>
                <a:r>
                  <a:rPr lang="en-GB" baseline="0"/>
                  <a:t> number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1333092496"/>
        <c:crosses val="autoZero"/>
        <c:crossBetween val="midCat"/>
      </c:valAx>
      <c:valAx>
        <c:axId val="133309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ΔQ</a:t>
                </a:r>
                <a:r>
                  <a:rPr lang="en-US" baseline="0"/>
                  <a:t> for NNRTI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1333630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backward val="4"/>
            <c:dispRSqr val="1"/>
            <c:dispEq val="1"/>
            <c:trendlineLbl>
              <c:layout>
                <c:manualLayout>
                  <c:x val="-9.6920384951881006E-3"/>
                  <c:y val="0.166052420530766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GR"/>
                </a:p>
              </c:txPr>
            </c:trendlineLbl>
          </c:trendline>
          <c:xVal>
            <c:numRef>
              <c:f>PI!$A$2:$A$26</c:f>
              <c:numCache>
                <c:formatCode>General</c:formatCode>
                <c:ptCount val="25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  <c:pt idx="22">
                  <c:v>31</c:v>
                </c:pt>
                <c:pt idx="23">
                  <c:v>32</c:v>
                </c:pt>
                <c:pt idx="24">
                  <c:v>33</c:v>
                </c:pt>
              </c:numCache>
            </c:numRef>
          </c:xVal>
          <c:yVal>
            <c:numRef>
              <c:f>PI!$K$2:$K$26</c:f>
              <c:numCache>
                <c:formatCode>General</c:formatCode>
                <c:ptCount val="25"/>
                <c:pt idx="0">
                  <c:v>12.30029010449055</c:v>
                </c:pt>
                <c:pt idx="2">
                  <c:v>8.8874666518280439</c:v>
                </c:pt>
                <c:pt idx="3">
                  <c:v>10.24102061928212</c:v>
                </c:pt>
                <c:pt idx="4">
                  <c:v>7.8323456851370548</c:v>
                </c:pt>
                <c:pt idx="5">
                  <c:v>9.6722774674361531</c:v>
                </c:pt>
                <c:pt idx="6">
                  <c:v>7.4221687559811933</c:v>
                </c:pt>
                <c:pt idx="7">
                  <c:v>9.829796652002182</c:v>
                </c:pt>
                <c:pt idx="8">
                  <c:v>7.7508772118343376</c:v>
                </c:pt>
                <c:pt idx="9">
                  <c:v>6.4461263501825146</c:v>
                </c:pt>
                <c:pt idx="10">
                  <c:v>7.5297591908910757</c:v>
                </c:pt>
                <c:pt idx="11">
                  <c:v>8.258523415276704</c:v>
                </c:pt>
                <c:pt idx="12">
                  <c:v>7.4014933299703412</c:v>
                </c:pt>
                <c:pt idx="13">
                  <c:v>7.7984539674951137</c:v>
                </c:pt>
                <c:pt idx="14">
                  <c:v>7.5496801832047149</c:v>
                </c:pt>
                <c:pt idx="15">
                  <c:v>7.5084911795789537</c:v>
                </c:pt>
                <c:pt idx="16">
                  <c:v>5.9779245741051774</c:v>
                </c:pt>
                <c:pt idx="17">
                  <c:v>7.7699090160515949</c:v>
                </c:pt>
                <c:pt idx="18">
                  <c:v>8.221632672949033</c:v>
                </c:pt>
                <c:pt idx="19">
                  <c:v>7.722895875941858</c:v>
                </c:pt>
                <c:pt idx="20">
                  <c:v>7.9482537491072236</c:v>
                </c:pt>
                <c:pt idx="21">
                  <c:v>7.0153801295937486</c:v>
                </c:pt>
                <c:pt idx="22">
                  <c:v>5.0596557599161356</c:v>
                </c:pt>
                <c:pt idx="23">
                  <c:v>7.4998822412042534</c:v>
                </c:pt>
                <c:pt idx="24">
                  <c:v>5.1538596218739263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AB-814B-A96D-B4E98138D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3536128"/>
        <c:axId val="1333537856"/>
      </c:scatterChart>
      <c:valAx>
        <c:axId val="1333536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Visit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1333537856"/>
        <c:crosses val="autoZero"/>
        <c:crossBetween val="midCat"/>
      </c:valAx>
      <c:valAx>
        <c:axId val="133353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ΔQ</a:t>
                </a:r>
                <a:r>
                  <a:rPr lang="en-US"/>
                  <a:t> for PI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1333536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Vist vs HSRAT NNRTI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NNRTI!$A$2:$A$26</c:f>
              <c:numCache>
                <c:formatCode>General</c:formatCode>
                <c:ptCount val="25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  <c:pt idx="22">
                  <c:v>31</c:v>
                </c:pt>
                <c:pt idx="23">
                  <c:v>32</c:v>
                </c:pt>
                <c:pt idx="24">
                  <c:v>33</c:v>
                </c:pt>
              </c:numCache>
            </c:numRef>
          </c:xVal>
          <c:yVal>
            <c:numRef>
              <c:f>NNRTI!$D$2:$D$26</c:f>
              <c:numCache>
                <c:formatCode>General</c:formatCode>
                <c:ptCount val="25"/>
                <c:pt idx="0">
                  <c:v>0.53741007194244605</c:v>
                </c:pt>
                <c:pt idx="1">
                  <c:v>0.49181818181818182</c:v>
                </c:pt>
                <c:pt idx="2">
                  <c:v>0.50602409638554213</c:v>
                </c:pt>
                <c:pt idx="3">
                  <c:v>0.51186440677966105</c:v>
                </c:pt>
                <c:pt idx="4">
                  <c:v>0.43947368421052629</c:v>
                </c:pt>
                <c:pt idx="5">
                  <c:v>0.41707317073170741</c:v>
                </c:pt>
                <c:pt idx="6">
                  <c:v>0.70909090909090911</c:v>
                </c:pt>
                <c:pt idx="7">
                  <c:v>0.64076923076923076</c:v>
                </c:pt>
                <c:pt idx="8">
                  <c:v>0.50980392156862742</c:v>
                </c:pt>
                <c:pt idx="9">
                  <c:v>0.48499999999999999</c:v>
                </c:pt>
                <c:pt idx="10">
                  <c:v>1.2</c:v>
                </c:pt>
                <c:pt idx="11">
                  <c:v>0.50294117647058822</c:v>
                </c:pt>
                <c:pt idx="12">
                  <c:v>0.59354838709677415</c:v>
                </c:pt>
                <c:pt idx="13">
                  <c:v>0.4</c:v>
                </c:pt>
                <c:pt idx="14">
                  <c:v>0.42499999999999999</c:v>
                </c:pt>
                <c:pt idx="15">
                  <c:v>0.63076923076923075</c:v>
                </c:pt>
                <c:pt idx="16">
                  <c:v>0.54285714285714282</c:v>
                </c:pt>
                <c:pt idx="17">
                  <c:v>0.3666666666666667</c:v>
                </c:pt>
                <c:pt idx="19">
                  <c:v>0.43333333333333329</c:v>
                </c:pt>
                <c:pt idx="20">
                  <c:v>0.2</c:v>
                </c:pt>
                <c:pt idx="21">
                  <c:v>0.60000000000000009</c:v>
                </c:pt>
                <c:pt idx="22">
                  <c:v>0.4</c:v>
                </c:pt>
                <c:pt idx="23">
                  <c:v>0.8666666666666667</c:v>
                </c:pt>
                <c:pt idx="24">
                  <c:v>0.64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15-BC4C-9B8B-E204DB3A8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0854320"/>
        <c:axId val="1269953280"/>
      </c:scatterChart>
      <c:valAx>
        <c:axId val="1270854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1269953280"/>
        <c:crosses val="autoZero"/>
        <c:crossBetween val="midCat"/>
      </c:valAx>
      <c:valAx>
        <c:axId val="126995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1270854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Visit</a:t>
            </a:r>
            <a:r>
              <a:rPr lang="en-GB" baseline="0"/>
              <a:t> vs HSRAT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PI!$A$2:$A$26</c:f>
              <c:numCache>
                <c:formatCode>General</c:formatCode>
                <c:ptCount val="25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  <c:pt idx="22">
                  <c:v>31</c:v>
                </c:pt>
                <c:pt idx="23">
                  <c:v>32</c:v>
                </c:pt>
                <c:pt idx="24">
                  <c:v>33</c:v>
                </c:pt>
              </c:numCache>
            </c:numRef>
          </c:xVal>
          <c:yVal>
            <c:numRef>
              <c:f>PI!$D$2:$D$26</c:f>
              <c:numCache>
                <c:formatCode>General</c:formatCode>
                <c:ptCount val="25"/>
                <c:pt idx="0">
                  <c:v>0.50594059405940595</c:v>
                </c:pt>
                <c:pt idx="1">
                  <c:v>0.45287356321839078</c:v>
                </c:pt>
                <c:pt idx="2">
                  <c:v>0.46129032258064517</c:v>
                </c:pt>
                <c:pt idx="3">
                  <c:v>0.47499999999999998</c:v>
                </c:pt>
                <c:pt idx="4">
                  <c:v>0.43529411764705878</c:v>
                </c:pt>
                <c:pt idx="5">
                  <c:v>0.40952380952380951</c:v>
                </c:pt>
                <c:pt idx="6">
                  <c:v>0.60875000000000001</c:v>
                </c:pt>
                <c:pt idx="7">
                  <c:v>0.5818181818181819</c:v>
                </c:pt>
                <c:pt idx="8">
                  <c:v>0.51</c:v>
                </c:pt>
                <c:pt idx="9">
                  <c:v>0.41136363636363638</c:v>
                </c:pt>
                <c:pt idx="10">
                  <c:v>0.38157894736842107</c:v>
                </c:pt>
                <c:pt idx="11">
                  <c:v>0.45882352941176469</c:v>
                </c:pt>
                <c:pt idx="12">
                  <c:v>0.50322580645161286</c:v>
                </c:pt>
                <c:pt idx="13">
                  <c:v>0.45517241379310341</c:v>
                </c:pt>
                <c:pt idx="14">
                  <c:v>0.34375</c:v>
                </c:pt>
                <c:pt idx="15">
                  <c:v>0.56666666666666665</c:v>
                </c:pt>
                <c:pt idx="16">
                  <c:v>0.49</c:v>
                </c:pt>
                <c:pt idx="17">
                  <c:v>0.82105263157894737</c:v>
                </c:pt>
                <c:pt idx="18">
                  <c:v>0.41</c:v>
                </c:pt>
                <c:pt idx="19">
                  <c:v>0.51111111111111107</c:v>
                </c:pt>
                <c:pt idx="20">
                  <c:v>0.54285714285714282</c:v>
                </c:pt>
                <c:pt idx="21">
                  <c:v>0.61176470588235299</c:v>
                </c:pt>
                <c:pt idx="22">
                  <c:v>0.75333333333333341</c:v>
                </c:pt>
                <c:pt idx="23">
                  <c:v>0.67</c:v>
                </c:pt>
                <c:pt idx="24">
                  <c:v>0.83333333333333337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72-4443-A7D8-786C8BAA1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3536128"/>
        <c:axId val="1333537856"/>
      </c:scatterChart>
      <c:valAx>
        <c:axId val="1333536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1333537856"/>
        <c:crosses val="autoZero"/>
        <c:crossBetween val="midCat"/>
      </c:valAx>
      <c:valAx>
        <c:axId val="133353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1333536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sysDot"/>
              </a:ln>
              <a:effectLst/>
            </c:spPr>
            <c:trendlineType val="linear"/>
            <c:backward val="4"/>
            <c:dispRSqr val="1"/>
            <c:dispEq val="1"/>
            <c:trendlineLbl>
              <c:layout>
                <c:manualLayout>
                  <c:x val="-3.8031496062992127E-3"/>
                  <c:y val="0.16171369203849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GR"/>
                </a:p>
              </c:txPr>
            </c:trendlineLbl>
          </c:trendline>
          <c:xVal>
            <c:numRef>
              <c:f>NRTI!$A$2:$A$26</c:f>
              <c:numCache>
                <c:formatCode>General</c:formatCode>
                <c:ptCount val="25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  <c:pt idx="22">
                  <c:v>31</c:v>
                </c:pt>
                <c:pt idx="23">
                  <c:v>32</c:v>
                </c:pt>
                <c:pt idx="24">
                  <c:v>33</c:v>
                </c:pt>
              </c:numCache>
            </c:numRef>
          </c:xVal>
          <c:yVal>
            <c:numRef>
              <c:f>NRTI!$K$2:$K$26</c:f>
              <c:numCache>
                <c:formatCode>General</c:formatCode>
                <c:ptCount val="25"/>
                <c:pt idx="0">
                  <c:v>13.40088340107371</c:v>
                </c:pt>
                <c:pt idx="2">
                  <c:v>9.7662600384198583</c:v>
                </c:pt>
                <c:pt idx="3">
                  <c:v>9.1949414554235531</c:v>
                </c:pt>
                <c:pt idx="4">
                  <c:v>8.2358760019564752</c:v>
                </c:pt>
                <c:pt idx="5">
                  <c:v>11.623572121406109</c:v>
                </c:pt>
                <c:pt idx="6">
                  <c:v>7.724866790382948</c:v>
                </c:pt>
                <c:pt idx="7">
                  <c:v>11.74606675977545</c:v>
                </c:pt>
                <c:pt idx="8">
                  <c:v>8.2349106237289469</c:v>
                </c:pt>
                <c:pt idx="9">
                  <c:v>9.247452883462989</c:v>
                </c:pt>
                <c:pt idx="10">
                  <c:v>9.7801692428880109</c:v>
                </c:pt>
                <c:pt idx="11">
                  <c:v>6.5443859829522779</c:v>
                </c:pt>
                <c:pt idx="12">
                  <c:v>7.6002833932622957</c:v>
                </c:pt>
                <c:pt idx="13">
                  <c:v>7.1034979898674679</c:v>
                </c:pt>
                <c:pt idx="14">
                  <c:v>9.9974105526646593</c:v>
                </c:pt>
                <c:pt idx="15">
                  <c:v>7.5995500484654421</c:v>
                </c:pt>
                <c:pt idx="16">
                  <c:v>6.6533329525317857</c:v>
                </c:pt>
                <c:pt idx="17">
                  <c:v>5.7562192704531912</c:v>
                </c:pt>
                <c:pt idx="18">
                  <c:v>8.780299689618289</c:v>
                </c:pt>
                <c:pt idx="19">
                  <c:v>6.8013785464606906</c:v>
                </c:pt>
                <c:pt idx="20">
                  <c:v>5.9666773846597696</c:v>
                </c:pt>
                <c:pt idx="21">
                  <c:v>7.3531490643049713</c:v>
                </c:pt>
                <c:pt idx="22">
                  <c:v>6.2924571028145184</c:v>
                </c:pt>
                <c:pt idx="23">
                  <c:v>8.8443687364246237</c:v>
                </c:pt>
                <c:pt idx="24">
                  <c:v>8.5977893237221217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27-9B48-9847-D74D1E208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233904"/>
        <c:axId val="563235632"/>
      </c:scatterChart>
      <c:valAx>
        <c:axId val="563233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Visit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563235632"/>
        <c:crosses val="autoZero"/>
        <c:crossBetween val="midCat"/>
      </c:valAx>
      <c:valAx>
        <c:axId val="56323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Δ</a:t>
                </a:r>
                <a:r>
                  <a:rPr lang="el-GR"/>
                  <a:t>Q</a:t>
                </a:r>
                <a:r>
                  <a:rPr lang="en-US"/>
                  <a:t> for NRTI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563233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backward val="4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GR"/>
                </a:p>
              </c:txPr>
            </c:trendlineLbl>
          </c:trendline>
          <c:xVal>
            <c:numRef>
              <c:f>NNRTI!$A$2:$A$26</c:f>
              <c:numCache>
                <c:formatCode>General</c:formatCode>
                <c:ptCount val="25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  <c:pt idx="22">
                  <c:v>31</c:v>
                </c:pt>
                <c:pt idx="23">
                  <c:v>32</c:v>
                </c:pt>
                <c:pt idx="24">
                  <c:v>33</c:v>
                </c:pt>
              </c:numCache>
            </c:numRef>
          </c:xVal>
          <c:yVal>
            <c:numRef>
              <c:f>NNRTI!$B$2:$B$26</c:f>
              <c:numCache>
                <c:formatCode>General</c:formatCode>
                <c:ptCount val="25"/>
                <c:pt idx="0">
                  <c:v>27212.491408934711</c:v>
                </c:pt>
                <c:pt idx="1">
                  <c:v>24315.544642857141</c:v>
                </c:pt>
                <c:pt idx="2">
                  <c:v>32942.404761904763</c:v>
                </c:pt>
                <c:pt idx="3">
                  <c:v>16780.355932203391</c:v>
                </c:pt>
                <c:pt idx="4">
                  <c:v>11815.128205128211</c:v>
                </c:pt>
                <c:pt idx="5">
                  <c:v>7342.0930232558139</c:v>
                </c:pt>
                <c:pt idx="6">
                  <c:v>1667.5272727272729</c:v>
                </c:pt>
                <c:pt idx="7">
                  <c:v>11805.94696969697</c:v>
                </c:pt>
                <c:pt idx="8">
                  <c:v>16901.568627450979</c:v>
                </c:pt>
                <c:pt idx="9">
                  <c:v>35338.644067796609</c:v>
                </c:pt>
                <c:pt idx="10">
                  <c:v>10959.375</c:v>
                </c:pt>
                <c:pt idx="11">
                  <c:v>9871.9117647058829</c:v>
                </c:pt>
                <c:pt idx="12">
                  <c:v>43081.515151515152</c:v>
                </c:pt>
                <c:pt idx="13">
                  <c:v>2683.571428571428</c:v>
                </c:pt>
                <c:pt idx="14">
                  <c:v>3390</c:v>
                </c:pt>
                <c:pt idx="15">
                  <c:v>835.83333333333337</c:v>
                </c:pt>
                <c:pt idx="16">
                  <c:v>85.714285714285708</c:v>
                </c:pt>
                <c:pt idx="17">
                  <c:v>2086.666666666667</c:v>
                </c:pt>
                <c:pt idx="19">
                  <c:v>19782.5</c:v>
                </c:pt>
                <c:pt idx="20">
                  <c:v>39817</c:v>
                </c:pt>
                <c:pt idx="21">
                  <c:v>1568</c:v>
                </c:pt>
                <c:pt idx="22">
                  <c:v>5388</c:v>
                </c:pt>
                <c:pt idx="23">
                  <c:v>183.66666666666671</c:v>
                </c:pt>
                <c:pt idx="24">
                  <c:v>111.4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8B-AE43-A54B-DE82BA85F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68415"/>
        <c:axId val="89877103"/>
      </c:scatterChart>
      <c:valAx>
        <c:axId val="89768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Visit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89877103"/>
        <c:crosses val="autoZero"/>
        <c:crossBetween val="midCat"/>
      </c:valAx>
      <c:valAx>
        <c:axId val="89877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Viral</a:t>
                </a:r>
                <a:r>
                  <a:rPr lang="en-GB" baseline="0"/>
                  <a:t> Load for NNRTI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897684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C00000"/>
                </a:solidFill>
                <a:prstDash val="sysDot"/>
              </a:ln>
              <a:effectLst/>
            </c:spPr>
            <c:trendlineType val="linear"/>
            <c:backward val="4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GR"/>
                </a:p>
              </c:txPr>
            </c:trendlineLbl>
          </c:trendline>
          <c:xVal>
            <c:numRef>
              <c:f>PI!$A$2:$A$26</c:f>
              <c:numCache>
                <c:formatCode>General</c:formatCode>
                <c:ptCount val="25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  <c:pt idx="22">
                  <c:v>31</c:v>
                </c:pt>
                <c:pt idx="23">
                  <c:v>32</c:v>
                </c:pt>
                <c:pt idx="24">
                  <c:v>33</c:v>
                </c:pt>
              </c:numCache>
            </c:numRef>
          </c:xVal>
          <c:yVal>
            <c:numRef>
              <c:f>PI!$B$2:$B$26</c:f>
              <c:numCache>
                <c:formatCode>General</c:formatCode>
                <c:ptCount val="25"/>
                <c:pt idx="0">
                  <c:v>19115.984790874529</c:v>
                </c:pt>
                <c:pt idx="1">
                  <c:v>25372.79069767442</c:v>
                </c:pt>
                <c:pt idx="2">
                  <c:v>35301.21212121212</c:v>
                </c:pt>
                <c:pt idx="3">
                  <c:v>58097.703703703701</c:v>
                </c:pt>
                <c:pt idx="4">
                  <c:v>17049.142857142859</c:v>
                </c:pt>
                <c:pt idx="5">
                  <c:v>1727.304347826087</c:v>
                </c:pt>
                <c:pt idx="6">
                  <c:v>7143.4878048780483</c:v>
                </c:pt>
                <c:pt idx="7">
                  <c:v>23206.17045454546</c:v>
                </c:pt>
                <c:pt idx="8">
                  <c:v>27018.033333333329</c:v>
                </c:pt>
                <c:pt idx="9">
                  <c:v>22223.409090909088</c:v>
                </c:pt>
                <c:pt idx="10">
                  <c:v>30549.75</c:v>
                </c:pt>
                <c:pt idx="11">
                  <c:v>8085.9615384615381</c:v>
                </c:pt>
                <c:pt idx="12">
                  <c:v>4697.1875</c:v>
                </c:pt>
                <c:pt idx="13">
                  <c:v>5100.3214285714284</c:v>
                </c:pt>
                <c:pt idx="14">
                  <c:v>9770</c:v>
                </c:pt>
                <c:pt idx="15">
                  <c:v>7516.4516129032254</c:v>
                </c:pt>
                <c:pt idx="16">
                  <c:v>4858.5</c:v>
                </c:pt>
                <c:pt idx="17">
                  <c:v>524.73684210526312</c:v>
                </c:pt>
                <c:pt idx="18">
                  <c:v>424</c:v>
                </c:pt>
                <c:pt idx="19">
                  <c:v>319.16666666666669</c:v>
                </c:pt>
                <c:pt idx="20">
                  <c:v>18378.857142857141</c:v>
                </c:pt>
                <c:pt idx="21">
                  <c:v>25434.941176470591</c:v>
                </c:pt>
                <c:pt idx="22">
                  <c:v>183.21428571428569</c:v>
                </c:pt>
                <c:pt idx="23">
                  <c:v>622.4</c:v>
                </c:pt>
                <c:pt idx="24">
                  <c:v>176.54166666666671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07-DB48-9DD7-7A2A2FE71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3536128"/>
        <c:axId val="1333537856"/>
      </c:scatterChart>
      <c:valAx>
        <c:axId val="1333536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Visit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1333537856"/>
        <c:crosses val="autoZero"/>
        <c:crossBetween val="midCat"/>
      </c:valAx>
      <c:valAx>
        <c:axId val="133353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Viral Load for PI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1333536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B050"/>
                </a:solidFill>
                <a:prstDash val="sysDot"/>
              </a:ln>
              <a:effectLst/>
            </c:spPr>
            <c:trendlineType val="linear"/>
            <c:backward val="4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GR"/>
                </a:p>
              </c:txPr>
            </c:trendlineLbl>
          </c:trendline>
          <c:xVal>
            <c:numRef>
              <c:f>NRTI!$A$2:$A$26</c:f>
              <c:numCache>
                <c:formatCode>General</c:formatCode>
                <c:ptCount val="25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  <c:pt idx="22">
                  <c:v>31</c:v>
                </c:pt>
                <c:pt idx="23">
                  <c:v>32</c:v>
                </c:pt>
                <c:pt idx="24">
                  <c:v>33</c:v>
                </c:pt>
              </c:numCache>
            </c:numRef>
          </c:xVal>
          <c:yVal>
            <c:numRef>
              <c:f>NRTI!$B$2:$B$26</c:f>
              <c:numCache>
                <c:formatCode>General</c:formatCode>
                <c:ptCount val="25"/>
                <c:pt idx="0">
                  <c:v>17228.637806637809</c:v>
                </c:pt>
                <c:pt idx="1">
                  <c:v>29987.63636363636</c:v>
                </c:pt>
                <c:pt idx="2">
                  <c:v>42378.479166666657</c:v>
                </c:pt>
                <c:pt idx="3">
                  <c:v>17893.0625</c:v>
                </c:pt>
                <c:pt idx="4">
                  <c:v>18889.259259259259</c:v>
                </c:pt>
                <c:pt idx="5">
                  <c:v>8870</c:v>
                </c:pt>
                <c:pt idx="6">
                  <c:v>7665.2666666666664</c:v>
                </c:pt>
                <c:pt idx="7">
                  <c:v>6945.0680628272248</c:v>
                </c:pt>
                <c:pt idx="8">
                  <c:v>28445.31111111111</c:v>
                </c:pt>
                <c:pt idx="9">
                  <c:v>15220.90909090909</c:v>
                </c:pt>
                <c:pt idx="10">
                  <c:v>20557.5</c:v>
                </c:pt>
                <c:pt idx="11">
                  <c:v>3061.304347826087</c:v>
                </c:pt>
                <c:pt idx="12">
                  <c:v>64060.952380952382</c:v>
                </c:pt>
                <c:pt idx="13">
                  <c:v>3177.5</c:v>
                </c:pt>
                <c:pt idx="14">
                  <c:v>474.54545454545462</c:v>
                </c:pt>
                <c:pt idx="15">
                  <c:v>811.33333333333337</c:v>
                </c:pt>
                <c:pt idx="16">
                  <c:v>5755</c:v>
                </c:pt>
                <c:pt idx="17">
                  <c:v>785</c:v>
                </c:pt>
                <c:pt idx="18">
                  <c:v>80</c:v>
                </c:pt>
                <c:pt idx="19">
                  <c:v>751.66666666666663</c:v>
                </c:pt>
                <c:pt idx="20">
                  <c:v>56668</c:v>
                </c:pt>
                <c:pt idx="21">
                  <c:v>63.285714285714278</c:v>
                </c:pt>
                <c:pt idx="22">
                  <c:v>98.333333333333329</c:v>
                </c:pt>
                <c:pt idx="23">
                  <c:v>891.2</c:v>
                </c:pt>
                <c:pt idx="24">
                  <c:v>121.40909090909091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B4-AD4A-9900-0AF2412B1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7092048"/>
        <c:axId val="297029888"/>
      </c:scatterChart>
      <c:valAx>
        <c:axId val="29709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Visit</a:t>
                </a:r>
                <a:r>
                  <a:rPr lang="en-GB" baseline="0"/>
                  <a:t> number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297029888"/>
        <c:crosses val="autoZero"/>
        <c:crossBetween val="midCat"/>
      </c:valAx>
      <c:valAx>
        <c:axId val="29702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Viral Load for</a:t>
                </a:r>
                <a:r>
                  <a:rPr lang="en-GB" baseline="0"/>
                  <a:t> NRTI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297092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VLOAD vs VISIT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NNRTI!$A$8:$A$23</c:f>
              <c:numCache>
                <c:formatCode>General</c:formatCode>
                <c:ptCount val="1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</c:numCache>
            </c:numRef>
          </c:xVal>
          <c:yVal>
            <c:numRef>
              <c:f>NNRTI!$B$8:$B$23</c:f>
              <c:numCache>
                <c:formatCode>General</c:formatCode>
                <c:ptCount val="16"/>
                <c:pt idx="0">
                  <c:v>1667.5272727272729</c:v>
                </c:pt>
                <c:pt idx="1">
                  <c:v>11805.94696969697</c:v>
                </c:pt>
                <c:pt idx="2">
                  <c:v>16901.568627450979</c:v>
                </c:pt>
                <c:pt idx="3">
                  <c:v>35338.644067796609</c:v>
                </c:pt>
                <c:pt idx="4">
                  <c:v>10959.375</c:v>
                </c:pt>
                <c:pt idx="5">
                  <c:v>9871.9117647058829</c:v>
                </c:pt>
                <c:pt idx="6">
                  <c:v>43081.515151515152</c:v>
                </c:pt>
                <c:pt idx="7">
                  <c:v>2683.571428571428</c:v>
                </c:pt>
                <c:pt idx="8">
                  <c:v>3390</c:v>
                </c:pt>
                <c:pt idx="9">
                  <c:v>835.83333333333337</c:v>
                </c:pt>
                <c:pt idx="10">
                  <c:v>85.714285714285708</c:v>
                </c:pt>
                <c:pt idx="11">
                  <c:v>2086.666666666667</c:v>
                </c:pt>
                <c:pt idx="13">
                  <c:v>19782.5</c:v>
                </c:pt>
                <c:pt idx="14">
                  <c:v>39817</c:v>
                </c:pt>
                <c:pt idx="15">
                  <c:v>1568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89-A746-A0B5-F64F822D6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484832"/>
        <c:axId val="1400896208"/>
      </c:scatterChart>
      <c:valAx>
        <c:axId val="1400484832"/>
        <c:scaling>
          <c:orientation val="minMax"/>
          <c:max val="30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1400896208"/>
        <c:crosses val="autoZero"/>
        <c:crossBetween val="midCat"/>
      </c:valAx>
      <c:valAx>
        <c:axId val="14008962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1400484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HSRAT vs VISIT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NNRTI!$A$8:$A$23</c:f>
              <c:numCache>
                <c:formatCode>General</c:formatCode>
                <c:ptCount val="1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</c:numCache>
            </c:numRef>
          </c:xVal>
          <c:yVal>
            <c:numRef>
              <c:f>NNRTI!$D$8:$D$23</c:f>
              <c:numCache>
                <c:formatCode>General</c:formatCode>
                <c:ptCount val="16"/>
                <c:pt idx="0">
                  <c:v>0.70909090909090911</c:v>
                </c:pt>
                <c:pt idx="1">
                  <c:v>0.64076923076923076</c:v>
                </c:pt>
                <c:pt idx="2">
                  <c:v>0.50980392156862742</c:v>
                </c:pt>
                <c:pt idx="3">
                  <c:v>0.48499999999999999</c:v>
                </c:pt>
                <c:pt idx="4">
                  <c:v>1.2</c:v>
                </c:pt>
                <c:pt idx="5">
                  <c:v>0.50294117647058822</c:v>
                </c:pt>
                <c:pt idx="6">
                  <c:v>0.59354838709677415</c:v>
                </c:pt>
                <c:pt idx="7">
                  <c:v>0.4</c:v>
                </c:pt>
                <c:pt idx="8">
                  <c:v>0.42499999999999999</c:v>
                </c:pt>
                <c:pt idx="9">
                  <c:v>0.63076923076923075</c:v>
                </c:pt>
                <c:pt idx="10">
                  <c:v>0.54285714285714282</c:v>
                </c:pt>
                <c:pt idx="11">
                  <c:v>0.3666666666666667</c:v>
                </c:pt>
                <c:pt idx="13">
                  <c:v>0.43333333333333329</c:v>
                </c:pt>
                <c:pt idx="14">
                  <c:v>0.2</c:v>
                </c:pt>
                <c:pt idx="15">
                  <c:v>0.60000000000000009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FE-514E-A06A-9DA0210C4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484832"/>
        <c:axId val="1400896208"/>
      </c:scatterChart>
      <c:valAx>
        <c:axId val="1400484832"/>
        <c:scaling>
          <c:orientation val="minMax"/>
          <c:max val="30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1400896208"/>
        <c:crosses val="autoZero"/>
        <c:crossBetween val="midCat"/>
      </c:valAx>
      <c:valAx>
        <c:axId val="14008962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1400484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PHOSLF vs VISIT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NNRTI!$A$8:$A$23</c:f>
              <c:numCache>
                <c:formatCode>General</c:formatCode>
                <c:ptCount val="1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</c:numCache>
            </c:numRef>
          </c:xVal>
          <c:yVal>
            <c:numRef>
              <c:f>NNRTI!$G$8:$G$23</c:f>
              <c:numCache>
                <c:formatCode>General</c:formatCode>
                <c:ptCount val="16"/>
                <c:pt idx="0">
                  <c:v>89.990990990990994</c:v>
                </c:pt>
                <c:pt idx="1">
                  <c:v>89.81343283582089</c:v>
                </c:pt>
                <c:pt idx="2">
                  <c:v>91.269230769230774</c:v>
                </c:pt>
                <c:pt idx="3">
                  <c:v>93.016666666666666</c:v>
                </c:pt>
                <c:pt idx="4">
                  <c:v>100.5625</c:v>
                </c:pt>
                <c:pt idx="5">
                  <c:v>94.794117647058826</c:v>
                </c:pt>
                <c:pt idx="6">
                  <c:v>89.484848484848484</c:v>
                </c:pt>
                <c:pt idx="7">
                  <c:v>83.428571428571431</c:v>
                </c:pt>
                <c:pt idx="8">
                  <c:v>99.416666666666671</c:v>
                </c:pt>
                <c:pt idx="9">
                  <c:v>83.307692307692307</c:v>
                </c:pt>
                <c:pt idx="10">
                  <c:v>101.71428571428569</c:v>
                </c:pt>
                <c:pt idx="11">
                  <c:v>97</c:v>
                </c:pt>
                <c:pt idx="13">
                  <c:v>92.25</c:v>
                </c:pt>
                <c:pt idx="14">
                  <c:v>104.5</c:v>
                </c:pt>
                <c:pt idx="15">
                  <c:v>169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6A-FF4C-9A40-B7865CC05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484832"/>
        <c:axId val="1400896208"/>
      </c:scatterChart>
      <c:valAx>
        <c:axId val="1400484832"/>
        <c:scaling>
          <c:orientation val="minMax"/>
          <c:max val="30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1400896208"/>
        <c:crosses val="autoZero"/>
        <c:crossBetween val="midCat"/>
      </c:valAx>
      <c:valAx>
        <c:axId val="14008962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1400484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CREAT vs VISIT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NNRTI!$A$8:$A$23</c:f>
              <c:numCache>
                <c:formatCode>General</c:formatCode>
                <c:ptCount val="1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</c:numCache>
            </c:numRef>
          </c:xVal>
          <c:yVal>
            <c:numRef>
              <c:f>NNRTI!$J$8:$J$23</c:f>
              <c:numCache>
                <c:formatCode>General</c:formatCode>
                <c:ptCount val="16"/>
                <c:pt idx="0">
                  <c:v>0.82612612612612613</c:v>
                </c:pt>
                <c:pt idx="1">
                  <c:v>0.74477611940298505</c:v>
                </c:pt>
                <c:pt idx="2">
                  <c:v>0.83269230769230762</c:v>
                </c:pt>
                <c:pt idx="3">
                  <c:v>0.93833333333333324</c:v>
                </c:pt>
                <c:pt idx="4">
                  <c:v>0.85624999999999996</c:v>
                </c:pt>
                <c:pt idx="5">
                  <c:v>0.92647058823529416</c:v>
                </c:pt>
                <c:pt idx="6">
                  <c:v>0.84242424242424241</c:v>
                </c:pt>
                <c:pt idx="7">
                  <c:v>0.87857142857142867</c:v>
                </c:pt>
                <c:pt idx="8">
                  <c:v>0.7583333333333333</c:v>
                </c:pt>
                <c:pt idx="9">
                  <c:v>0.79230769230769238</c:v>
                </c:pt>
                <c:pt idx="10">
                  <c:v>0.7857142857142857</c:v>
                </c:pt>
                <c:pt idx="11">
                  <c:v>0.8666666666666667</c:v>
                </c:pt>
                <c:pt idx="13">
                  <c:v>0.79</c:v>
                </c:pt>
                <c:pt idx="14">
                  <c:v>0.91</c:v>
                </c:pt>
                <c:pt idx="15">
                  <c:v>0.75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8D-1944-B805-65E8768EB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484832"/>
        <c:axId val="1400896208"/>
      </c:scatterChart>
      <c:valAx>
        <c:axId val="1400484832"/>
        <c:scaling>
          <c:orientation val="minMax"/>
          <c:max val="30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1400896208"/>
        <c:crosses val="autoZero"/>
        <c:crossBetween val="midCat"/>
      </c:valAx>
      <c:valAx>
        <c:axId val="14008962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1400484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VLOAD vs VISIT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NRTI!$A$8:$A$23</c:f>
              <c:numCache>
                <c:formatCode>General</c:formatCode>
                <c:ptCount val="1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</c:numCache>
            </c:numRef>
          </c:xVal>
          <c:yVal>
            <c:numRef>
              <c:f>NRTI!$B$8:$B$23</c:f>
              <c:numCache>
                <c:formatCode>General</c:formatCode>
                <c:ptCount val="16"/>
                <c:pt idx="0">
                  <c:v>7665.2666666666664</c:v>
                </c:pt>
                <c:pt idx="1">
                  <c:v>6945.0680628272248</c:v>
                </c:pt>
                <c:pt idx="2">
                  <c:v>28445.31111111111</c:v>
                </c:pt>
                <c:pt idx="3">
                  <c:v>15220.90909090909</c:v>
                </c:pt>
                <c:pt idx="4">
                  <c:v>20557.5</c:v>
                </c:pt>
                <c:pt idx="5">
                  <c:v>3061.304347826087</c:v>
                </c:pt>
                <c:pt idx="6">
                  <c:v>64060.952380952382</c:v>
                </c:pt>
                <c:pt idx="7">
                  <c:v>3177.5</c:v>
                </c:pt>
                <c:pt idx="8">
                  <c:v>474.54545454545462</c:v>
                </c:pt>
                <c:pt idx="9">
                  <c:v>811.33333333333337</c:v>
                </c:pt>
                <c:pt idx="10">
                  <c:v>5755</c:v>
                </c:pt>
                <c:pt idx="11">
                  <c:v>785</c:v>
                </c:pt>
                <c:pt idx="12">
                  <c:v>80</c:v>
                </c:pt>
                <c:pt idx="13">
                  <c:v>751.66666666666663</c:v>
                </c:pt>
                <c:pt idx="14">
                  <c:v>56668</c:v>
                </c:pt>
                <c:pt idx="15">
                  <c:v>63.285714285714278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88-E640-8D85-6E3E584B1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9400224"/>
        <c:axId val="789124192"/>
      </c:scatterChart>
      <c:valAx>
        <c:axId val="789400224"/>
        <c:scaling>
          <c:orientation val="minMax"/>
          <c:max val="30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789124192"/>
        <c:crosses val="autoZero"/>
        <c:crossBetween val="midCat"/>
      </c:valAx>
      <c:valAx>
        <c:axId val="78912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789400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HSRAT vs VISIT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NRTI!$A$8:$A$23</c:f>
              <c:numCache>
                <c:formatCode>General</c:formatCode>
                <c:ptCount val="1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</c:numCache>
            </c:numRef>
          </c:xVal>
          <c:yVal>
            <c:numRef>
              <c:f>NRTI!$D$8:$D$23</c:f>
              <c:numCache>
                <c:formatCode>General</c:formatCode>
                <c:ptCount val="16"/>
                <c:pt idx="0">
                  <c:v>0.6983240223463687</c:v>
                </c:pt>
                <c:pt idx="1">
                  <c:v>0.65</c:v>
                </c:pt>
                <c:pt idx="2">
                  <c:v>0.42444444444444451</c:v>
                </c:pt>
                <c:pt idx="3">
                  <c:v>0.39090909090909087</c:v>
                </c:pt>
                <c:pt idx="4">
                  <c:v>0.4916666666666667</c:v>
                </c:pt>
                <c:pt idx="5">
                  <c:v>0.51818181818181819</c:v>
                </c:pt>
                <c:pt idx="6">
                  <c:v>0.53157894736842104</c:v>
                </c:pt>
                <c:pt idx="7">
                  <c:v>0.52500000000000002</c:v>
                </c:pt>
                <c:pt idx="8">
                  <c:v>0.47272727272727272</c:v>
                </c:pt>
                <c:pt idx="9">
                  <c:v>0.65</c:v>
                </c:pt>
                <c:pt idx="10">
                  <c:v>0.46250000000000002</c:v>
                </c:pt>
                <c:pt idx="11">
                  <c:v>0.45</c:v>
                </c:pt>
                <c:pt idx="12">
                  <c:v>0.26666666666666672</c:v>
                </c:pt>
                <c:pt idx="13">
                  <c:v>0.35</c:v>
                </c:pt>
                <c:pt idx="14">
                  <c:v>0.2</c:v>
                </c:pt>
                <c:pt idx="15">
                  <c:v>0.51428571428571435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AC4-2444-893F-403BA9BEE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9400224"/>
        <c:axId val="789124192"/>
      </c:scatterChart>
      <c:valAx>
        <c:axId val="789400224"/>
        <c:scaling>
          <c:orientation val="minMax"/>
          <c:max val="30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789124192"/>
        <c:crosses val="autoZero"/>
        <c:crossBetween val="midCat"/>
      </c:valAx>
      <c:valAx>
        <c:axId val="78912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789400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PHOSLF vs VISIT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NRTI!$A$8:$A$23</c:f>
              <c:numCache>
                <c:formatCode>General</c:formatCode>
                <c:ptCount val="1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</c:numCache>
            </c:numRef>
          </c:xVal>
          <c:yVal>
            <c:numRef>
              <c:f>NRTI!$G$8:$G$23</c:f>
              <c:numCache>
                <c:formatCode>General</c:formatCode>
                <c:ptCount val="16"/>
                <c:pt idx="0">
                  <c:v>84.027624309392266</c:v>
                </c:pt>
                <c:pt idx="1">
                  <c:v>83.015463917525778</c:v>
                </c:pt>
                <c:pt idx="2">
                  <c:v>82.282608695652172</c:v>
                </c:pt>
                <c:pt idx="3">
                  <c:v>84.852941176470594</c:v>
                </c:pt>
                <c:pt idx="4">
                  <c:v>81.5</c:v>
                </c:pt>
                <c:pt idx="5">
                  <c:v>77.434782608695656</c:v>
                </c:pt>
                <c:pt idx="6">
                  <c:v>73.047619047619051</c:v>
                </c:pt>
                <c:pt idx="7">
                  <c:v>83.916666666666671</c:v>
                </c:pt>
                <c:pt idx="8">
                  <c:v>93.727272727272734</c:v>
                </c:pt>
                <c:pt idx="9">
                  <c:v>79.3125</c:v>
                </c:pt>
                <c:pt idx="10">
                  <c:v>80.75</c:v>
                </c:pt>
                <c:pt idx="11">
                  <c:v>91</c:v>
                </c:pt>
                <c:pt idx="12">
                  <c:v>111</c:v>
                </c:pt>
                <c:pt idx="13">
                  <c:v>74.666666666666671</c:v>
                </c:pt>
                <c:pt idx="14">
                  <c:v>87</c:v>
                </c:pt>
                <c:pt idx="15">
                  <c:v>74.571428571428569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A4-214B-8E08-887FCBDD26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9400224"/>
        <c:axId val="789124192"/>
      </c:scatterChart>
      <c:valAx>
        <c:axId val="789400224"/>
        <c:scaling>
          <c:orientation val="minMax"/>
          <c:max val="30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789124192"/>
        <c:crosses val="autoZero"/>
        <c:crossBetween val="midCat"/>
      </c:valAx>
      <c:valAx>
        <c:axId val="78912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789400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CREALF vs VISIT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NRTI!$A$8:$A$23</c:f>
              <c:numCache>
                <c:formatCode>General</c:formatCode>
                <c:ptCount val="16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</c:numCache>
            </c:numRef>
          </c:xVal>
          <c:yVal>
            <c:numRef>
              <c:f>NRTI!$J$8:$J$23</c:f>
              <c:numCache>
                <c:formatCode>General</c:formatCode>
                <c:ptCount val="16"/>
                <c:pt idx="0">
                  <c:v>0.81049723756906067</c:v>
                </c:pt>
                <c:pt idx="1">
                  <c:v>0.72319587628865989</c:v>
                </c:pt>
                <c:pt idx="2">
                  <c:v>0.76956521739130435</c:v>
                </c:pt>
                <c:pt idx="3">
                  <c:v>0.81176470588235294</c:v>
                </c:pt>
                <c:pt idx="4">
                  <c:v>0.81666666666666676</c:v>
                </c:pt>
                <c:pt idx="5">
                  <c:v>0.75652173913043474</c:v>
                </c:pt>
                <c:pt idx="6">
                  <c:v>0.79523809523809519</c:v>
                </c:pt>
                <c:pt idx="7">
                  <c:v>0.8666666666666667</c:v>
                </c:pt>
                <c:pt idx="8">
                  <c:v>1.0272727272727269</c:v>
                </c:pt>
                <c:pt idx="9">
                  <c:v>0.81874999999999998</c:v>
                </c:pt>
                <c:pt idx="10">
                  <c:v>0.77500000000000002</c:v>
                </c:pt>
                <c:pt idx="11">
                  <c:v>0.8</c:v>
                </c:pt>
                <c:pt idx="12">
                  <c:v>0.7466666666666667</c:v>
                </c:pt>
                <c:pt idx="13">
                  <c:v>0.79666666666666675</c:v>
                </c:pt>
                <c:pt idx="14">
                  <c:v>0.85499999999999998</c:v>
                </c:pt>
                <c:pt idx="15">
                  <c:v>0.84714285714285709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87-A441-B1E2-0BDD483AC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9400224"/>
        <c:axId val="789124192"/>
      </c:scatterChart>
      <c:valAx>
        <c:axId val="789400224"/>
        <c:scaling>
          <c:orientation val="minMax"/>
          <c:max val="30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789124192"/>
        <c:crosses val="autoZero"/>
        <c:crossBetween val="midCat"/>
      </c:valAx>
      <c:valAx>
        <c:axId val="78912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789400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Visit</a:t>
            </a:r>
            <a:r>
              <a:rPr lang="en-GB" baseline="0"/>
              <a:t> vs VLOAD PI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PI!$A$2:$A$26</c:f>
              <c:numCache>
                <c:formatCode>General</c:formatCode>
                <c:ptCount val="25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  <c:pt idx="22">
                  <c:v>31</c:v>
                </c:pt>
                <c:pt idx="23">
                  <c:v>32</c:v>
                </c:pt>
                <c:pt idx="24">
                  <c:v>33</c:v>
                </c:pt>
              </c:numCache>
            </c:numRef>
          </c:xVal>
          <c:yVal>
            <c:numRef>
              <c:f>PI!$B$2:$B$26</c:f>
              <c:numCache>
                <c:formatCode>General</c:formatCode>
                <c:ptCount val="25"/>
                <c:pt idx="0">
                  <c:v>19115.984790874529</c:v>
                </c:pt>
                <c:pt idx="1">
                  <c:v>25372.79069767442</c:v>
                </c:pt>
                <c:pt idx="2">
                  <c:v>35301.21212121212</c:v>
                </c:pt>
                <c:pt idx="3">
                  <c:v>58097.703703703701</c:v>
                </c:pt>
                <c:pt idx="4">
                  <c:v>17049.142857142859</c:v>
                </c:pt>
                <c:pt idx="5">
                  <c:v>1727.304347826087</c:v>
                </c:pt>
                <c:pt idx="6">
                  <c:v>7143.4878048780483</c:v>
                </c:pt>
                <c:pt idx="7">
                  <c:v>23206.17045454546</c:v>
                </c:pt>
                <c:pt idx="8">
                  <c:v>27018.033333333329</c:v>
                </c:pt>
                <c:pt idx="9">
                  <c:v>22223.409090909088</c:v>
                </c:pt>
                <c:pt idx="10">
                  <c:v>30549.75</c:v>
                </c:pt>
                <c:pt idx="11">
                  <c:v>8085.9615384615381</c:v>
                </c:pt>
                <c:pt idx="12">
                  <c:v>4697.1875</c:v>
                </c:pt>
                <c:pt idx="13">
                  <c:v>5100.3214285714284</c:v>
                </c:pt>
                <c:pt idx="14">
                  <c:v>9770</c:v>
                </c:pt>
                <c:pt idx="15">
                  <c:v>7516.4516129032254</c:v>
                </c:pt>
                <c:pt idx="16">
                  <c:v>4858.5</c:v>
                </c:pt>
                <c:pt idx="17">
                  <c:v>524.73684210526312</c:v>
                </c:pt>
                <c:pt idx="18">
                  <c:v>424</c:v>
                </c:pt>
                <c:pt idx="19">
                  <c:v>319.16666666666669</c:v>
                </c:pt>
                <c:pt idx="20">
                  <c:v>18378.857142857141</c:v>
                </c:pt>
                <c:pt idx="21">
                  <c:v>25434.941176470591</c:v>
                </c:pt>
                <c:pt idx="22">
                  <c:v>183.21428571428569</c:v>
                </c:pt>
                <c:pt idx="23">
                  <c:v>622.4</c:v>
                </c:pt>
                <c:pt idx="24">
                  <c:v>176.54166666666671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AA-0E48-AAD4-E2450F4F2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3536128"/>
        <c:axId val="1333537856"/>
      </c:scatterChart>
      <c:valAx>
        <c:axId val="1333536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1333537856"/>
        <c:crosses val="autoZero"/>
        <c:crossBetween val="midCat"/>
      </c:valAx>
      <c:valAx>
        <c:axId val="133353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1333536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PI</a:t>
            </a:r>
            <a:r>
              <a:rPr lang="en-GB" baseline="0"/>
              <a:t>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PI!$A$2:$A$26</c:f>
              <c:numCache>
                <c:formatCode>General</c:formatCode>
                <c:ptCount val="25"/>
                <c:pt idx="0">
                  <c:v>9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16</c:v>
                </c:pt>
                <c:pt idx="8">
                  <c:v>17</c:v>
                </c:pt>
                <c:pt idx="9">
                  <c:v>18</c:v>
                </c:pt>
                <c:pt idx="10">
                  <c:v>19</c:v>
                </c:pt>
                <c:pt idx="11">
                  <c:v>20</c:v>
                </c:pt>
                <c:pt idx="12">
                  <c:v>21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  <c:pt idx="22">
                  <c:v>31</c:v>
                </c:pt>
                <c:pt idx="23">
                  <c:v>32</c:v>
                </c:pt>
                <c:pt idx="24">
                  <c:v>33</c:v>
                </c:pt>
              </c:numCache>
            </c:numRef>
          </c:xVal>
          <c:yVal>
            <c:numRef>
              <c:f>PI!$N$2:$N$26</c:f>
              <c:numCache>
                <c:formatCode>General</c:formatCode>
                <c:ptCount val="25"/>
                <c:pt idx="0">
                  <c:v>2.3557889892657462</c:v>
                </c:pt>
                <c:pt idx="1">
                  <c:v>1.1939216201678697</c:v>
                </c:pt>
                <c:pt idx="2">
                  <c:v>2.2674669149376934</c:v>
                </c:pt>
                <c:pt idx="3">
                  <c:v>3.1173055244594723</c:v>
                </c:pt>
                <c:pt idx="4">
                  <c:v>2.2548072200689671</c:v>
                </c:pt>
                <c:pt idx="5">
                  <c:v>1.9167091022004867</c:v>
                </c:pt>
                <c:pt idx="6">
                  <c:v>1.9825511663301336</c:v>
                </c:pt>
                <c:pt idx="7">
                  <c:v>2.1990622431238078</c:v>
                </c:pt>
                <c:pt idx="8">
                  <c:v>2.604334185620548</c:v>
                </c:pt>
                <c:pt idx="9">
                  <c:v>1.841029613969249</c:v>
                </c:pt>
                <c:pt idx="10">
                  <c:v>2.2679505172977774</c:v>
                </c:pt>
                <c:pt idx="11">
                  <c:v>1.8427799212474036</c:v>
                </c:pt>
                <c:pt idx="12">
                  <c:v>1.7441247580850958</c:v>
                </c:pt>
                <c:pt idx="13">
                  <c:v>1.8367929507778356</c:v>
                </c:pt>
                <c:pt idx="14">
                  <c:v>1.9499748231355505</c:v>
                </c:pt>
                <c:pt idx="15">
                  <c:v>1.8544970944910992</c:v>
                </c:pt>
                <c:pt idx="16">
                  <c:v>1.8731272102948373</c:v>
                </c:pt>
                <c:pt idx="17">
                  <c:v>2.0374615813127974</c:v>
                </c:pt>
                <c:pt idx="18">
                  <c:v>1.7081537380039651</c:v>
                </c:pt>
                <c:pt idx="19">
                  <c:v>1.7503061912509656</c:v>
                </c:pt>
                <c:pt idx="20">
                  <c:v>2.0153307878984368</c:v>
                </c:pt>
                <c:pt idx="21">
                  <c:v>2.2455024290929337</c:v>
                </c:pt>
                <c:pt idx="22">
                  <c:v>1.9963098494237534</c:v>
                </c:pt>
                <c:pt idx="23">
                  <c:v>1.828172155549127</c:v>
                </c:pt>
                <c:pt idx="24">
                  <c:v>1.9753717856930681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98-1B4A-979C-54DD51F2E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747456"/>
        <c:axId val="2139240624"/>
      </c:scatterChart>
      <c:valAx>
        <c:axId val="1632747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Visit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2139240624"/>
        <c:crosses val="autoZero"/>
        <c:crossBetween val="midCat"/>
      </c:valAx>
      <c:valAx>
        <c:axId val="213924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1632747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VLOAD</a:t>
            </a:r>
            <a:r>
              <a:rPr lang="en-US" baseline="0"/>
              <a:t> VISIT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PI!$A$8:$A$25</c:f>
              <c:numCache>
                <c:formatCode>General</c:formatCode>
                <c:ptCount val="18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</c:numCache>
            </c:numRef>
          </c:xVal>
          <c:yVal>
            <c:numRef>
              <c:f>PI!$B$8:$B$25</c:f>
              <c:numCache>
                <c:formatCode>General</c:formatCode>
                <c:ptCount val="18"/>
                <c:pt idx="0">
                  <c:v>7143.4878048780483</c:v>
                </c:pt>
                <c:pt idx="1">
                  <c:v>23206.17045454546</c:v>
                </c:pt>
                <c:pt idx="2">
                  <c:v>27018.033333333329</c:v>
                </c:pt>
                <c:pt idx="3">
                  <c:v>22223.409090909088</c:v>
                </c:pt>
                <c:pt idx="4">
                  <c:v>30549.75</c:v>
                </c:pt>
                <c:pt idx="5">
                  <c:v>8085.9615384615381</c:v>
                </c:pt>
                <c:pt idx="6">
                  <c:v>4697.1875</c:v>
                </c:pt>
                <c:pt idx="7">
                  <c:v>5100.3214285714284</c:v>
                </c:pt>
                <c:pt idx="8">
                  <c:v>9770</c:v>
                </c:pt>
                <c:pt idx="9">
                  <c:v>7516.4516129032254</c:v>
                </c:pt>
                <c:pt idx="10">
                  <c:v>4858.5</c:v>
                </c:pt>
                <c:pt idx="11">
                  <c:v>524.73684210526312</c:v>
                </c:pt>
                <c:pt idx="12">
                  <c:v>424</c:v>
                </c:pt>
                <c:pt idx="13">
                  <c:v>319.16666666666669</c:v>
                </c:pt>
                <c:pt idx="14">
                  <c:v>18378.857142857141</c:v>
                </c:pt>
                <c:pt idx="15">
                  <c:v>25434.941176470591</c:v>
                </c:pt>
                <c:pt idx="16">
                  <c:v>183.21428571428569</c:v>
                </c:pt>
                <c:pt idx="17">
                  <c:v>622.4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11-E846-9970-0A8B897FC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0126496"/>
        <c:axId val="444083664"/>
      </c:scatterChart>
      <c:valAx>
        <c:axId val="1770126496"/>
        <c:scaling>
          <c:orientation val="minMax"/>
          <c:max val="32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444083664"/>
        <c:crosses val="autoZero"/>
        <c:crossBetween val="midCat"/>
      </c:valAx>
      <c:valAx>
        <c:axId val="4440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1770126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HSRAT</a:t>
            </a:r>
            <a:r>
              <a:rPr lang="en-US" baseline="0"/>
              <a:t> VISIT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PI!$A$8:$A$25</c:f>
              <c:numCache>
                <c:formatCode>General</c:formatCode>
                <c:ptCount val="18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</c:numCache>
            </c:numRef>
          </c:xVal>
          <c:yVal>
            <c:numRef>
              <c:f>PI!$D$8:$D$25</c:f>
              <c:numCache>
                <c:formatCode>General</c:formatCode>
                <c:ptCount val="18"/>
                <c:pt idx="0">
                  <c:v>0.60875000000000001</c:v>
                </c:pt>
                <c:pt idx="1">
                  <c:v>0.5818181818181819</c:v>
                </c:pt>
                <c:pt idx="2">
                  <c:v>0.51</c:v>
                </c:pt>
                <c:pt idx="3">
                  <c:v>0.41136363636363638</c:v>
                </c:pt>
                <c:pt idx="4">
                  <c:v>0.38157894736842107</c:v>
                </c:pt>
                <c:pt idx="5">
                  <c:v>0.45882352941176469</c:v>
                </c:pt>
                <c:pt idx="6">
                  <c:v>0.50322580645161286</c:v>
                </c:pt>
                <c:pt idx="7">
                  <c:v>0.45517241379310341</c:v>
                </c:pt>
                <c:pt idx="8">
                  <c:v>0.34375</c:v>
                </c:pt>
                <c:pt idx="9">
                  <c:v>0.56666666666666665</c:v>
                </c:pt>
                <c:pt idx="10">
                  <c:v>0.49</c:v>
                </c:pt>
                <c:pt idx="11">
                  <c:v>0.82105263157894737</c:v>
                </c:pt>
                <c:pt idx="12">
                  <c:v>0.41</c:v>
                </c:pt>
                <c:pt idx="13">
                  <c:v>0.51111111111111107</c:v>
                </c:pt>
                <c:pt idx="14">
                  <c:v>0.54285714285714282</c:v>
                </c:pt>
                <c:pt idx="15">
                  <c:v>0.61176470588235299</c:v>
                </c:pt>
                <c:pt idx="16">
                  <c:v>0.75333333333333341</c:v>
                </c:pt>
                <c:pt idx="17">
                  <c:v>0.67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5B-1442-AC96-9CE5B623E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0126496"/>
        <c:axId val="444083664"/>
      </c:scatterChart>
      <c:valAx>
        <c:axId val="1770126496"/>
        <c:scaling>
          <c:orientation val="minMax"/>
          <c:max val="32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444083664"/>
        <c:crosses val="autoZero"/>
        <c:crossBetween val="midCat"/>
      </c:valAx>
      <c:valAx>
        <c:axId val="4440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1770126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PHOSLF</a:t>
            </a:r>
            <a:r>
              <a:rPr lang="en-US" baseline="0"/>
              <a:t> VISIT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PI!$A$8:$A$25</c:f>
              <c:numCache>
                <c:formatCode>General</c:formatCode>
                <c:ptCount val="18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</c:numCache>
            </c:numRef>
          </c:xVal>
          <c:yVal>
            <c:numRef>
              <c:f>PI!$G$8:$G$25</c:f>
              <c:numCache>
                <c:formatCode>General</c:formatCode>
                <c:ptCount val="18"/>
                <c:pt idx="0">
                  <c:v>80.55952380952381</c:v>
                </c:pt>
                <c:pt idx="1">
                  <c:v>81.955056179775283</c:v>
                </c:pt>
                <c:pt idx="2">
                  <c:v>92.13333333333334</c:v>
                </c:pt>
                <c:pt idx="3">
                  <c:v>85.022222222222226</c:v>
                </c:pt>
                <c:pt idx="4">
                  <c:v>91.125</c:v>
                </c:pt>
                <c:pt idx="5">
                  <c:v>90.65384615384616</c:v>
                </c:pt>
                <c:pt idx="6">
                  <c:v>72.545454545454547</c:v>
                </c:pt>
                <c:pt idx="7">
                  <c:v>81.896551724137936</c:v>
                </c:pt>
                <c:pt idx="8">
                  <c:v>84.5</c:v>
                </c:pt>
                <c:pt idx="9">
                  <c:v>85.6</c:v>
                </c:pt>
                <c:pt idx="10">
                  <c:v>82.55</c:v>
                </c:pt>
                <c:pt idx="11">
                  <c:v>91</c:v>
                </c:pt>
                <c:pt idx="12">
                  <c:v>81.099999999999994</c:v>
                </c:pt>
                <c:pt idx="13">
                  <c:v>75.388888888888886</c:v>
                </c:pt>
                <c:pt idx="14">
                  <c:v>70.285714285714292</c:v>
                </c:pt>
                <c:pt idx="15">
                  <c:v>99.235294117647058</c:v>
                </c:pt>
                <c:pt idx="16">
                  <c:v>80</c:v>
                </c:pt>
                <c:pt idx="17">
                  <c:v>100.5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A0-8E48-8062-C33BE54FF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0126496"/>
        <c:axId val="444083664"/>
      </c:scatterChart>
      <c:valAx>
        <c:axId val="1770126496"/>
        <c:scaling>
          <c:orientation val="minMax"/>
          <c:max val="32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444083664"/>
        <c:crosses val="autoZero"/>
        <c:crossBetween val="midCat"/>
      </c:valAx>
      <c:valAx>
        <c:axId val="4440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1770126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CREALF VISIT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PI!$A$8:$A$25</c:f>
              <c:numCache>
                <c:formatCode>General</c:formatCode>
                <c:ptCount val="18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18</c:v>
                </c:pt>
                <c:pt idx="4">
                  <c:v>19</c:v>
                </c:pt>
                <c:pt idx="5">
                  <c:v>20</c:v>
                </c:pt>
                <c:pt idx="6">
                  <c:v>21</c:v>
                </c:pt>
                <c:pt idx="7">
                  <c:v>22</c:v>
                </c:pt>
                <c:pt idx="8">
                  <c:v>23</c:v>
                </c:pt>
                <c:pt idx="9">
                  <c:v>24</c:v>
                </c:pt>
                <c:pt idx="10">
                  <c:v>25</c:v>
                </c:pt>
                <c:pt idx="11">
                  <c:v>26</c:v>
                </c:pt>
                <c:pt idx="12">
                  <c:v>27</c:v>
                </c:pt>
                <c:pt idx="13">
                  <c:v>28</c:v>
                </c:pt>
                <c:pt idx="14">
                  <c:v>29</c:v>
                </c:pt>
                <c:pt idx="15">
                  <c:v>30</c:v>
                </c:pt>
                <c:pt idx="16">
                  <c:v>31</c:v>
                </c:pt>
                <c:pt idx="17">
                  <c:v>32</c:v>
                </c:pt>
              </c:numCache>
            </c:numRef>
          </c:xVal>
          <c:yVal>
            <c:numRef>
              <c:f>PI!$J$8:$J$25</c:f>
              <c:numCache>
                <c:formatCode>General</c:formatCode>
                <c:ptCount val="18"/>
                <c:pt idx="0">
                  <c:v>0.88928571428571435</c:v>
                </c:pt>
                <c:pt idx="1">
                  <c:v>0.8</c:v>
                </c:pt>
                <c:pt idx="2">
                  <c:v>1.0366666666666671</c:v>
                </c:pt>
                <c:pt idx="3">
                  <c:v>0.34666666666666668</c:v>
                </c:pt>
                <c:pt idx="4">
                  <c:v>0.91750000000000009</c:v>
                </c:pt>
                <c:pt idx="5">
                  <c:v>0.82499999999999996</c:v>
                </c:pt>
                <c:pt idx="6">
                  <c:v>0.79696969696969699</c:v>
                </c:pt>
                <c:pt idx="7">
                  <c:v>0.89655172413793105</c:v>
                </c:pt>
                <c:pt idx="8">
                  <c:v>0.95</c:v>
                </c:pt>
                <c:pt idx="9">
                  <c:v>0.80333333333333334</c:v>
                </c:pt>
                <c:pt idx="10">
                  <c:v>0.82</c:v>
                </c:pt>
                <c:pt idx="11">
                  <c:v>0.86315789473684201</c:v>
                </c:pt>
                <c:pt idx="12">
                  <c:v>0.83399999999999996</c:v>
                </c:pt>
                <c:pt idx="13">
                  <c:v>0.80833333333333335</c:v>
                </c:pt>
                <c:pt idx="14">
                  <c:v>0.74428571428571433</c:v>
                </c:pt>
                <c:pt idx="15">
                  <c:v>0.82176470588235295</c:v>
                </c:pt>
                <c:pt idx="16">
                  <c:v>0.90066666666666662</c:v>
                </c:pt>
                <c:pt idx="17">
                  <c:v>0.83299999999999996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B8-1E47-B9A0-F7E23BB97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0126496"/>
        <c:axId val="444083664"/>
      </c:scatterChart>
      <c:valAx>
        <c:axId val="1770126496"/>
        <c:scaling>
          <c:orientation val="minMax"/>
          <c:max val="32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444083664"/>
        <c:crosses val="autoZero"/>
        <c:crossBetween val="midCat"/>
      </c:valAx>
      <c:valAx>
        <c:axId val="4440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1770126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BUN</a:t>
            </a:r>
            <a:r>
              <a:rPr lang="en-US" baseline="0"/>
              <a:t> VISIT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PI!$A$9:$A$26</c:f>
              <c:numCache>
                <c:formatCode>General</c:formatCode>
                <c:ptCount val="18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29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</c:numCache>
            </c:numRef>
          </c:xVal>
          <c:yVal>
            <c:numRef>
              <c:f>PI!$I$9:$I$26</c:f>
              <c:numCache>
                <c:formatCode>General</c:formatCode>
                <c:ptCount val="18"/>
                <c:pt idx="0">
                  <c:v>10.57303370786517</c:v>
                </c:pt>
                <c:pt idx="1">
                  <c:v>12.96666666666667</c:v>
                </c:pt>
                <c:pt idx="2">
                  <c:v>10.4</c:v>
                </c:pt>
                <c:pt idx="3">
                  <c:v>12.6</c:v>
                </c:pt>
                <c:pt idx="4">
                  <c:v>12.34615384615385</c:v>
                </c:pt>
                <c:pt idx="5">
                  <c:v>11.75757575757576</c:v>
                </c:pt>
                <c:pt idx="6">
                  <c:v>12.68965517241379</c:v>
                </c:pt>
                <c:pt idx="7">
                  <c:v>14.1875</c:v>
                </c:pt>
                <c:pt idx="8">
                  <c:v>12.2</c:v>
                </c:pt>
                <c:pt idx="9">
                  <c:v>10.9</c:v>
                </c:pt>
                <c:pt idx="10">
                  <c:v>14.42105263157895</c:v>
                </c:pt>
                <c:pt idx="11">
                  <c:v>11.7</c:v>
                </c:pt>
                <c:pt idx="12">
                  <c:v>12.72222222222222</c:v>
                </c:pt>
                <c:pt idx="13">
                  <c:v>14.142857142857141</c:v>
                </c:pt>
                <c:pt idx="14">
                  <c:v>14.352941176470591</c:v>
                </c:pt>
                <c:pt idx="15">
                  <c:v>16.93333333333333</c:v>
                </c:pt>
                <c:pt idx="16">
                  <c:v>12.1</c:v>
                </c:pt>
                <c:pt idx="17">
                  <c:v>13.086956521739131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02-F346-AB44-21D439D97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0126496"/>
        <c:axId val="444083664"/>
      </c:scatterChart>
      <c:valAx>
        <c:axId val="1770126496"/>
        <c:scaling>
          <c:orientation val="minMax"/>
          <c:max val="32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444083664"/>
        <c:crosses val="autoZero"/>
        <c:crossBetween val="midCat"/>
      </c:valAx>
      <c:valAx>
        <c:axId val="4440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1770126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304800</xdr:colOff>
      <xdr:row>55</xdr:row>
      <xdr:rowOff>158750</xdr:rowOff>
    </xdr:from>
    <xdr:to>
      <xdr:col>7</xdr:col>
      <xdr:colOff>165100</xdr:colOff>
      <xdr:row>70</xdr:row>
      <xdr:rowOff>44450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369DCFD-CC8E-37EF-18F1-F38699CCBB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114300</xdr:colOff>
      <xdr:row>72</xdr:row>
      <xdr:rowOff>114300</xdr:rowOff>
    </xdr:from>
    <xdr:to>
      <xdr:col>6</xdr:col>
      <xdr:colOff>647700</xdr:colOff>
      <xdr:row>87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52D6E8A-6BB1-F44E-81F9-604218D069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215900</xdr:colOff>
      <xdr:row>55</xdr:row>
      <xdr:rowOff>171450</xdr:rowOff>
    </xdr:from>
    <xdr:to>
      <xdr:col>15</xdr:col>
      <xdr:colOff>0</xdr:colOff>
      <xdr:row>70</xdr:row>
      <xdr:rowOff>57150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37179AA-97FA-394F-5097-15CFF746D9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292100</xdr:colOff>
      <xdr:row>73</xdr:row>
      <xdr:rowOff>88900</xdr:rowOff>
    </xdr:from>
    <xdr:to>
      <xdr:col>15</xdr:col>
      <xdr:colOff>0</xdr:colOff>
      <xdr:row>87</xdr:row>
      <xdr:rowOff>165100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6EAB9E50-BE02-F74C-AD63-0184EB27EE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101600</xdr:colOff>
      <xdr:row>89</xdr:row>
      <xdr:rowOff>76200</xdr:rowOff>
    </xdr:from>
    <xdr:to>
      <xdr:col>6</xdr:col>
      <xdr:colOff>635000</xdr:colOff>
      <xdr:row>103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B88F39-6D0F-0D4A-8C19-01F3FDC05E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190500</xdr:colOff>
      <xdr:row>106</xdr:row>
      <xdr:rowOff>76200</xdr:rowOff>
    </xdr:from>
    <xdr:to>
      <xdr:col>7</xdr:col>
      <xdr:colOff>50800</xdr:colOff>
      <xdr:row>120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A4E67E0-FE84-504C-A9B2-0DAA117DBE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190500</xdr:colOff>
      <xdr:row>122</xdr:row>
      <xdr:rowOff>114300</xdr:rowOff>
    </xdr:from>
    <xdr:to>
      <xdr:col>7</xdr:col>
      <xdr:colOff>50800</xdr:colOff>
      <xdr:row>137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7124A4A-7A41-124A-8690-0FD26C45D2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355600</xdr:colOff>
      <xdr:row>138</xdr:row>
      <xdr:rowOff>38100</xdr:rowOff>
    </xdr:from>
    <xdr:to>
      <xdr:col>7</xdr:col>
      <xdr:colOff>215900</xdr:colOff>
      <xdr:row>152</xdr:row>
      <xdr:rowOff>114300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A23770C7-97FD-7A4A-A538-E203F4DDB0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463550</xdr:colOff>
      <xdr:row>1</xdr:row>
      <xdr:rowOff>12700</xdr:rowOff>
    </xdr:from>
    <xdr:to>
      <xdr:col>21</xdr:col>
      <xdr:colOff>323850</xdr:colOff>
      <xdr:row>15</xdr:row>
      <xdr:rowOff>88900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CE1EF8F8-5BA1-C418-7CE9-7282B4134B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14</xdr:col>
      <xdr:colOff>393700</xdr:colOff>
      <xdr:row>16</xdr:row>
      <xdr:rowOff>165100</xdr:rowOff>
    </xdr:from>
    <xdr:to>
      <xdr:col>21</xdr:col>
      <xdr:colOff>254000</xdr:colOff>
      <xdr:row>31</xdr:row>
      <xdr:rowOff>50800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2511EF39-C27A-F94B-8ECC-8C5C825B35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22</xdr:col>
      <xdr:colOff>495300</xdr:colOff>
      <xdr:row>1</xdr:row>
      <xdr:rowOff>12700</xdr:rowOff>
    </xdr:from>
    <xdr:to>
      <xdr:col>29</xdr:col>
      <xdr:colOff>355600</xdr:colOff>
      <xdr:row>15</xdr:row>
      <xdr:rowOff>88900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46ED86E3-BF0E-9141-AC7C-0BE1A58091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22</xdr:col>
      <xdr:colOff>584200</xdr:colOff>
      <xdr:row>17</xdr:row>
      <xdr:rowOff>12700</xdr:rowOff>
    </xdr:from>
    <xdr:to>
      <xdr:col>29</xdr:col>
      <xdr:colOff>444500</xdr:colOff>
      <xdr:row>31</xdr:row>
      <xdr:rowOff>88900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7A03D72-CA8D-0146-8DFC-9E4E602C9D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177800</xdr:colOff>
      <xdr:row>0</xdr:row>
      <xdr:rowOff>88900</xdr:rowOff>
    </xdr:from>
    <xdr:to>
      <xdr:col>18</xdr:col>
      <xdr:colOff>622300</xdr:colOff>
      <xdr:row>16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A1FBE4E-14FD-DA95-596E-4578CF3986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18</xdr:row>
      <xdr:rowOff>0</xdr:rowOff>
    </xdr:from>
    <xdr:to>
      <xdr:col>18</xdr:col>
      <xdr:colOff>444500</xdr:colOff>
      <xdr:row>33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89EC02E-F55B-F74B-8596-7BD8CB75D0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0</xdr:colOff>
      <xdr:row>1</xdr:row>
      <xdr:rowOff>0</xdr:rowOff>
    </xdr:from>
    <xdr:to>
      <xdr:col>27</xdr:col>
      <xdr:colOff>444500</xdr:colOff>
      <xdr:row>16</xdr:row>
      <xdr:rowOff>165100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C6A2FDE-7DEC-9147-81DC-3AE1F37A38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0</xdr:colOff>
      <xdr:row>18</xdr:row>
      <xdr:rowOff>0</xdr:rowOff>
    </xdr:from>
    <xdr:to>
      <xdr:col>27</xdr:col>
      <xdr:colOff>444500</xdr:colOff>
      <xdr:row>33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DEED61E-416A-3C49-90DC-7EBC10E4E9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52</xdr:row>
      <xdr:rowOff>139700</xdr:rowOff>
    </xdr:from>
    <xdr:to>
      <xdr:col>11</xdr:col>
      <xdr:colOff>571500</xdr:colOff>
      <xdr:row>67</xdr:row>
      <xdr:rowOff>25400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350DDD4-7D5B-D64A-832D-6399722E6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69850</xdr:colOff>
      <xdr:row>3</xdr:row>
      <xdr:rowOff>38100</xdr:rowOff>
    </xdr:from>
    <xdr:to>
      <xdr:col>22</xdr:col>
      <xdr:colOff>603250</xdr:colOff>
      <xdr:row>15</xdr:row>
      <xdr:rowOff>190500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DFF386A-E697-1F2A-5CF8-FB6501ED14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330200</xdr:colOff>
      <xdr:row>1</xdr:row>
      <xdr:rowOff>88900</xdr:rowOff>
    </xdr:from>
    <xdr:to>
      <xdr:col>23</xdr:col>
      <xdr:colOff>317500</xdr:colOff>
      <xdr:row>16</xdr:row>
      <xdr:rowOff>203200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6CABD5F-4AAB-B5FB-D9D5-7A5FA56BBC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317500</xdr:colOff>
      <xdr:row>18</xdr:row>
      <xdr:rowOff>50800</xdr:rowOff>
    </xdr:from>
    <xdr:to>
      <xdr:col>23</xdr:col>
      <xdr:colOff>304800</xdr:colOff>
      <xdr:row>34</xdr:row>
      <xdr:rowOff>127000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D364A99-AA75-D044-BDEA-03C11F1759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0</xdr:colOff>
      <xdr:row>1</xdr:row>
      <xdr:rowOff>114300</xdr:rowOff>
    </xdr:from>
    <xdr:to>
      <xdr:col>32</xdr:col>
      <xdr:colOff>660400</xdr:colOff>
      <xdr:row>17</xdr:row>
      <xdr:rowOff>12700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F135CC3-4333-694A-8685-D75EA17407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0</xdr:colOff>
      <xdr:row>18</xdr:row>
      <xdr:rowOff>0</xdr:rowOff>
    </xdr:from>
    <xdr:to>
      <xdr:col>32</xdr:col>
      <xdr:colOff>660400</xdr:colOff>
      <xdr:row>34</xdr:row>
      <xdr:rowOff>76200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9639A99-9DB2-2349-941E-37DC1532FD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33</xdr:col>
      <xdr:colOff>304800</xdr:colOff>
      <xdr:row>1</xdr:row>
      <xdr:rowOff>114300</xdr:rowOff>
    </xdr:from>
    <xdr:to>
      <xdr:col>42</xdr:col>
      <xdr:colOff>292100</xdr:colOff>
      <xdr:row>17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B9E3A8-ACD6-ED4E-8CDD-8F5FF80009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33</xdr:col>
      <xdr:colOff>368300</xdr:colOff>
      <xdr:row>18</xdr:row>
      <xdr:rowOff>38100</xdr:rowOff>
    </xdr:from>
    <xdr:to>
      <xdr:col>42</xdr:col>
      <xdr:colOff>345201</xdr:colOff>
      <xdr:row>35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52531F-BF0B-F4E7-6742-05F3A4351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580600" y="3898900"/>
          <a:ext cx="6034801" cy="3581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opLeftCell="C1" zoomScaleNormal="100" workbookViewId="0">
      <selection activeCell="O37" sqref="O37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3" t="s">
        <v>12</v>
      </c>
      <c r="N1" s="3" t="s">
        <v>18</v>
      </c>
    </row>
    <row r="2" spans="1:14" x14ac:dyDescent="0.2">
      <c r="A2">
        <v>9</v>
      </c>
      <c r="B2">
        <v>27212.491408934711</v>
      </c>
      <c r="C2">
        <v>157.30584192439861</v>
      </c>
      <c r="D2">
        <v>0.53741007194244605</v>
      </c>
      <c r="E2">
        <v>38.349315068493148</v>
      </c>
      <c r="F2">
        <v>40.965753424657542</v>
      </c>
      <c r="G2">
        <v>93.352739726027394</v>
      </c>
      <c r="H2">
        <v>4.0099315068493153</v>
      </c>
      <c r="I2">
        <v>12.037671232876709</v>
      </c>
      <c r="J2">
        <v>0.77020547945205486</v>
      </c>
      <c r="K2">
        <v>10.66323057344726</v>
      </c>
      <c r="L2">
        <f>B2-B3</f>
        <v>2896.9467660775699</v>
      </c>
      <c r="M2">
        <f>D2-D3</f>
        <v>4.5591890124264234E-2</v>
      </c>
      <c r="N2">
        <f>B2/MAX($B$2:$B$26)+SQRT((C2/MAX($C$2:$C$26))^2+(D2/MAX($D$2:$D$26))^2+(E2/MAX($E$2:$E$26))^2+(F2/MAX($F$2:$F$26))^2+(G2/MAX($G$2:$G$26))^2+(H2/MAX($H$2:$H$26))^2+(I2/MAX($I$2:$I$26))^2+(J2/MAX($J$2:$J$26))^2)</f>
        <v>2.6554319868570495</v>
      </c>
    </row>
    <row r="3" spans="1:14" x14ac:dyDescent="0.2">
      <c r="A3">
        <v>10</v>
      </c>
      <c r="B3">
        <v>24315.544642857141</v>
      </c>
      <c r="C3">
        <v>80</v>
      </c>
      <c r="D3">
        <v>0.49181818181818182</v>
      </c>
      <c r="L3">
        <f t="shared" ref="L3:L25" si="0">B3-B4</f>
        <v>-8626.860119047622</v>
      </c>
      <c r="M3">
        <f t="shared" ref="M3:M25" si="1">D3-D4</f>
        <v>-1.4205914567360312E-2</v>
      </c>
      <c r="N3">
        <f t="shared" ref="N3:N25" si="2">B3/MAX($B$2:$B$26)+SQRT((C3/MAX($C$2:$C$26))^2+(D3/MAX($D$2:$D$26))^2+(E3/MAX($E$2:$E$26))^2+(F3/MAX($F$2:$F$26))^2+(G3/MAX($G$2:$G$26))^2+(H3/MAX($H$2:$H$26))^2+(I3/MAX($I$2:$I$26))^2+(J3/MAX($J$2:$J$26))^2)</f>
        <v>1.2175636745944773</v>
      </c>
    </row>
    <row r="4" spans="1:14" x14ac:dyDescent="0.2">
      <c r="A4">
        <v>11</v>
      </c>
      <c r="B4">
        <v>32942.404761904763</v>
      </c>
      <c r="C4">
        <v>79.238095238095241</v>
      </c>
      <c r="D4">
        <v>0.50602409638554213</v>
      </c>
      <c r="E4">
        <v>34.317647058823532</v>
      </c>
      <c r="F4">
        <v>34.917647058823533</v>
      </c>
      <c r="G4">
        <v>88.223529411764702</v>
      </c>
      <c r="H4">
        <v>4.0247058823529418</v>
      </c>
      <c r="I4">
        <v>12.6</v>
      </c>
      <c r="J4">
        <v>1.105882352941177</v>
      </c>
      <c r="K4">
        <v>9.3020952205648637</v>
      </c>
      <c r="L4">
        <f t="shared" si="0"/>
        <v>16162.048829701373</v>
      </c>
      <c r="M4">
        <f t="shared" si="1"/>
        <v>-5.8403103941189194E-3</v>
      </c>
      <c r="N4">
        <f t="shared" si="2"/>
        <v>2.6739562736605249</v>
      </c>
    </row>
    <row r="5" spans="1:14" x14ac:dyDescent="0.2">
      <c r="A5">
        <v>12</v>
      </c>
      <c r="B5">
        <v>16780.355932203391</v>
      </c>
      <c r="C5">
        <v>80</v>
      </c>
      <c r="D5">
        <v>0.51186440677966105</v>
      </c>
      <c r="E5">
        <v>22</v>
      </c>
      <c r="F5">
        <v>58</v>
      </c>
      <c r="G5">
        <v>97</v>
      </c>
      <c r="H5">
        <v>4.4000000000000004</v>
      </c>
      <c r="I5">
        <v>10</v>
      </c>
      <c r="J5">
        <v>0.8</v>
      </c>
      <c r="K5">
        <v>15.482886635841149</v>
      </c>
      <c r="L5">
        <f t="shared" si="0"/>
        <v>4965.2277270751802</v>
      </c>
      <c r="M5">
        <f t="shared" si="1"/>
        <v>7.2390722569134758E-2</v>
      </c>
      <c r="N5">
        <f t="shared" si="2"/>
        <v>2.2566165716348427</v>
      </c>
    </row>
    <row r="6" spans="1:14" x14ac:dyDescent="0.2">
      <c r="A6">
        <v>13</v>
      </c>
      <c r="B6">
        <v>11815.128205128211</v>
      </c>
      <c r="C6">
        <v>80</v>
      </c>
      <c r="D6">
        <v>0.43947368421052629</v>
      </c>
      <c r="E6">
        <v>42.225000000000001</v>
      </c>
      <c r="F6">
        <v>48.5</v>
      </c>
      <c r="G6">
        <v>82.05</v>
      </c>
      <c r="H6">
        <v>4.0374999999999996</v>
      </c>
      <c r="I6">
        <v>12.175000000000001</v>
      </c>
      <c r="J6">
        <v>0.78249999999999997</v>
      </c>
      <c r="K6">
        <v>5.0249133862845907</v>
      </c>
      <c r="L6">
        <f t="shared" si="0"/>
        <v>4473.0351818723966</v>
      </c>
      <c r="M6">
        <f t="shared" si="1"/>
        <v>2.2400513478818884E-2</v>
      </c>
      <c r="N6">
        <f t="shared" si="2"/>
        <v>2.1493005796307263</v>
      </c>
    </row>
    <row r="7" spans="1:14" x14ac:dyDescent="0.2">
      <c r="A7">
        <v>14</v>
      </c>
      <c r="B7">
        <v>7342.0930232558139</v>
      </c>
      <c r="C7">
        <v>80</v>
      </c>
      <c r="D7">
        <v>0.41707317073170741</v>
      </c>
      <c r="E7">
        <v>47.02325581395349</v>
      </c>
      <c r="F7">
        <v>45.744186046511629</v>
      </c>
      <c r="G7">
        <v>95.372093023255815</v>
      </c>
      <c r="H7">
        <v>3.9813953488372089</v>
      </c>
      <c r="I7">
        <v>12.372093023255809</v>
      </c>
      <c r="J7">
        <v>0.7930232558139535</v>
      </c>
      <c r="K7">
        <v>9.1448183497678386</v>
      </c>
      <c r="L7">
        <f t="shared" si="0"/>
        <v>5674.5657505285408</v>
      </c>
      <c r="M7">
        <f t="shared" si="1"/>
        <v>-0.2920177383592017</v>
      </c>
      <c r="N7">
        <f t="shared" si="2"/>
        <v>2.0885401606637077</v>
      </c>
    </row>
    <row r="8" spans="1:14" x14ac:dyDescent="0.2">
      <c r="A8">
        <v>15</v>
      </c>
      <c r="B8">
        <v>1667.5272727272729</v>
      </c>
      <c r="C8">
        <v>80</v>
      </c>
      <c r="D8">
        <v>0.70909090909090911</v>
      </c>
      <c r="E8">
        <v>28.693693693693689</v>
      </c>
      <c r="F8">
        <v>32.054054054054063</v>
      </c>
      <c r="G8">
        <v>89.990990990990994</v>
      </c>
      <c r="H8">
        <v>4.1414414414414411</v>
      </c>
      <c r="I8">
        <v>11.378378378378381</v>
      </c>
      <c r="J8">
        <v>0.82612612612612613</v>
      </c>
      <c r="K8">
        <v>7.8713098371522277</v>
      </c>
      <c r="L8">
        <f t="shared" si="0"/>
        <v>-10138.419696969697</v>
      </c>
      <c r="M8">
        <f t="shared" si="1"/>
        <v>6.8321678321678347E-2</v>
      </c>
      <c r="N8">
        <f t="shared" si="2"/>
        <v>1.8263879767320474</v>
      </c>
    </row>
    <row r="9" spans="1:14" x14ac:dyDescent="0.2">
      <c r="A9">
        <v>16</v>
      </c>
      <c r="B9">
        <v>11805.94696969697</v>
      </c>
      <c r="C9">
        <v>84.848484848484844</v>
      </c>
      <c r="D9">
        <v>0.64076923076923076</v>
      </c>
      <c r="E9">
        <v>32.865671641791053</v>
      </c>
      <c r="F9">
        <v>31.134328358208951</v>
      </c>
      <c r="G9">
        <v>89.81343283582089</v>
      </c>
      <c r="H9">
        <v>3.9432835820895522</v>
      </c>
      <c r="I9">
        <v>11.253731343283579</v>
      </c>
      <c r="J9">
        <v>0.74477611940298505</v>
      </c>
      <c r="K9">
        <v>9.4684717058708099</v>
      </c>
      <c r="L9">
        <f t="shared" si="0"/>
        <v>-5095.621657754009</v>
      </c>
      <c r="M9">
        <f t="shared" si="1"/>
        <v>0.13096530920060334</v>
      </c>
      <c r="N9">
        <f t="shared" si="2"/>
        <v>2.0189919538214287</v>
      </c>
    </row>
    <row r="10" spans="1:14" x14ac:dyDescent="0.2">
      <c r="A10">
        <v>17</v>
      </c>
      <c r="B10">
        <v>16901.568627450979</v>
      </c>
      <c r="C10">
        <v>80</v>
      </c>
      <c r="D10">
        <v>0.50980392156862742</v>
      </c>
      <c r="E10">
        <v>37.96153846153846</v>
      </c>
      <c r="F10">
        <v>34.269230769230766</v>
      </c>
      <c r="G10">
        <v>91.269230769230774</v>
      </c>
      <c r="H10">
        <v>4.3634615384615394</v>
      </c>
      <c r="I10">
        <v>12.26923076923077</v>
      </c>
      <c r="J10">
        <v>0.83269230769230762</v>
      </c>
      <c r="K10">
        <v>7.5008530810846263</v>
      </c>
      <c r="L10">
        <f t="shared" si="0"/>
        <v>-18437.07544034563</v>
      </c>
      <c r="M10">
        <f t="shared" si="1"/>
        <v>2.4803921568627429E-2</v>
      </c>
      <c r="N10">
        <f t="shared" si="2"/>
        <v>2.2486893205684018</v>
      </c>
    </row>
    <row r="11" spans="1:14" x14ac:dyDescent="0.2">
      <c r="A11">
        <v>18</v>
      </c>
      <c r="B11">
        <v>35338.644067796609</v>
      </c>
      <c r="C11">
        <v>80</v>
      </c>
      <c r="D11">
        <v>0.48499999999999999</v>
      </c>
      <c r="E11">
        <v>29.716666666666669</v>
      </c>
      <c r="F11">
        <v>27.6</v>
      </c>
      <c r="G11">
        <v>93.016666666666666</v>
      </c>
      <c r="H11">
        <v>3.875</v>
      </c>
      <c r="I11">
        <v>11.65</v>
      </c>
      <c r="J11">
        <v>0.93833333333333324</v>
      </c>
      <c r="K11">
        <v>8.0515071976077763</v>
      </c>
      <c r="L11">
        <f t="shared" si="0"/>
        <v>24379.269067796609</v>
      </c>
      <c r="M11">
        <f t="shared" si="1"/>
        <v>-0.71499999999999997</v>
      </c>
      <c r="N11">
        <f t="shared" si="2"/>
        <v>2.5690376975267561</v>
      </c>
    </row>
    <row r="12" spans="1:14" x14ac:dyDescent="0.2">
      <c r="A12">
        <v>19</v>
      </c>
      <c r="B12">
        <v>10959.375</v>
      </c>
      <c r="C12">
        <v>80</v>
      </c>
      <c r="D12">
        <v>1.2</v>
      </c>
      <c r="E12">
        <v>38.0625</v>
      </c>
      <c r="F12">
        <v>32.40625</v>
      </c>
      <c r="G12">
        <v>100.5625</v>
      </c>
      <c r="H12">
        <v>4.0906250000000002</v>
      </c>
      <c r="I12">
        <v>12.84375</v>
      </c>
      <c r="J12">
        <v>0.85624999999999996</v>
      </c>
      <c r="K12">
        <v>4.3970206093215483</v>
      </c>
      <c r="L12">
        <f t="shared" si="0"/>
        <v>1087.4632352941171</v>
      </c>
      <c r="M12">
        <f t="shared" si="1"/>
        <v>0.69705882352941173</v>
      </c>
      <c r="N12">
        <f t="shared" si="2"/>
        <v>2.3169053891585061</v>
      </c>
    </row>
    <row r="13" spans="1:14" x14ac:dyDescent="0.2">
      <c r="A13">
        <v>20</v>
      </c>
      <c r="B13">
        <v>9871.9117647058829</v>
      </c>
      <c r="C13">
        <v>80</v>
      </c>
      <c r="D13">
        <v>0.50294117647058822</v>
      </c>
      <c r="E13">
        <v>30.617647058823529</v>
      </c>
      <c r="F13">
        <v>29.17647058823529</v>
      </c>
      <c r="G13">
        <v>94.794117647058826</v>
      </c>
      <c r="H13">
        <v>3.9823529411764711</v>
      </c>
      <c r="I13">
        <v>13.352941176470591</v>
      </c>
      <c r="J13">
        <v>0.92647058823529416</v>
      </c>
      <c r="K13">
        <v>6.2491789636370143</v>
      </c>
      <c r="L13">
        <f t="shared" si="0"/>
        <v>-33209.603386809271</v>
      </c>
      <c r="M13">
        <f t="shared" si="1"/>
        <v>-9.060721062618593E-2</v>
      </c>
      <c r="N13">
        <f t="shared" si="2"/>
        <v>2.0343763048209391</v>
      </c>
    </row>
    <row r="14" spans="1:14" x14ac:dyDescent="0.2">
      <c r="A14">
        <v>21</v>
      </c>
      <c r="B14">
        <v>43081.515151515152</v>
      </c>
      <c r="C14">
        <v>80</v>
      </c>
      <c r="D14">
        <v>0.59354838709677415</v>
      </c>
      <c r="E14">
        <v>33.303030303030297</v>
      </c>
      <c r="F14">
        <v>28.515151515151519</v>
      </c>
      <c r="G14">
        <v>89.484848484848484</v>
      </c>
      <c r="H14">
        <v>3.9303030303030302</v>
      </c>
      <c r="I14">
        <v>13.27272727272727</v>
      </c>
      <c r="J14">
        <v>0.84242424242424241</v>
      </c>
      <c r="K14">
        <v>7.7964263620992957</v>
      </c>
      <c r="L14">
        <f t="shared" si="0"/>
        <v>40397.943722943724</v>
      </c>
      <c r="M14">
        <f t="shared" si="1"/>
        <v>0.19354838709677413</v>
      </c>
      <c r="N14">
        <f t="shared" si="2"/>
        <v>2.7878722096033739</v>
      </c>
    </row>
    <row r="15" spans="1:14" x14ac:dyDescent="0.2">
      <c r="A15">
        <v>22</v>
      </c>
      <c r="B15">
        <v>2683.571428571428</v>
      </c>
      <c r="C15">
        <v>80</v>
      </c>
      <c r="D15">
        <v>0.4</v>
      </c>
      <c r="E15">
        <v>26.285714285714281</v>
      </c>
      <c r="F15">
        <v>23.357142857142861</v>
      </c>
      <c r="G15">
        <v>83.428571428571431</v>
      </c>
      <c r="H15">
        <v>4.0214285714285714</v>
      </c>
      <c r="I15">
        <v>13.28571428571429</v>
      </c>
      <c r="J15">
        <v>0.87857142857142867</v>
      </c>
      <c r="K15">
        <v>5.9568064258785629</v>
      </c>
      <c r="L15">
        <f t="shared" si="0"/>
        <v>-706.42857142857201</v>
      </c>
      <c r="M15">
        <f t="shared" si="1"/>
        <v>-2.4999999999999967E-2</v>
      </c>
      <c r="N15">
        <f t="shared" si="2"/>
        <v>1.7678364604985013</v>
      </c>
    </row>
    <row r="16" spans="1:14" x14ac:dyDescent="0.2">
      <c r="A16">
        <v>23</v>
      </c>
      <c r="B16">
        <v>3390</v>
      </c>
      <c r="C16">
        <v>80</v>
      </c>
      <c r="D16">
        <v>0.42499999999999999</v>
      </c>
      <c r="E16">
        <v>25.166666666666671</v>
      </c>
      <c r="F16">
        <v>21.416666666666671</v>
      </c>
      <c r="G16">
        <v>99.416666666666671</v>
      </c>
      <c r="H16">
        <v>4.0916666666666668</v>
      </c>
      <c r="I16">
        <v>11.25</v>
      </c>
      <c r="J16">
        <v>0.7583333333333333</v>
      </c>
      <c r="K16">
        <v>4.4122169289415254</v>
      </c>
      <c r="L16">
        <f t="shared" si="0"/>
        <v>2554.1666666666665</v>
      </c>
      <c r="M16">
        <f t="shared" si="1"/>
        <v>-0.20576923076923076</v>
      </c>
      <c r="N16">
        <f t="shared" si="2"/>
        <v>1.7288234380713545</v>
      </c>
    </row>
    <row r="17" spans="1:14" x14ac:dyDescent="0.2">
      <c r="A17">
        <v>24</v>
      </c>
      <c r="B17">
        <v>835.83333333333337</v>
      </c>
      <c r="C17">
        <v>80</v>
      </c>
      <c r="D17">
        <v>0.63076923076923075</v>
      </c>
      <c r="E17">
        <v>26.76923076923077</v>
      </c>
      <c r="F17">
        <v>21.23076923076923</v>
      </c>
      <c r="G17">
        <v>83.307692307692307</v>
      </c>
      <c r="H17">
        <v>4.1076923076923073</v>
      </c>
      <c r="I17">
        <v>13.84615384615385</v>
      </c>
      <c r="J17">
        <v>0.79230769230769238</v>
      </c>
      <c r="K17">
        <v>5.5494828011721973</v>
      </c>
      <c r="L17">
        <f t="shared" si="0"/>
        <v>750.11904761904771</v>
      </c>
      <c r="M17">
        <f t="shared" si="1"/>
        <v>8.7912087912087933E-2</v>
      </c>
      <c r="N17">
        <f t="shared" si="2"/>
        <v>1.7569986783628677</v>
      </c>
    </row>
    <row r="18" spans="1:14" x14ac:dyDescent="0.2">
      <c r="A18">
        <v>25</v>
      </c>
      <c r="B18">
        <v>85.714285714285708</v>
      </c>
      <c r="C18">
        <v>80</v>
      </c>
      <c r="D18">
        <v>0.54285714285714282</v>
      </c>
      <c r="E18">
        <v>29.857142857142861</v>
      </c>
      <c r="F18">
        <v>29.428571428571431</v>
      </c>
      <c r="G18">
        <v>101.71428571428569</v>
      </c>
      <c r="H18">
        <v>4.2142857142857144</v>
      </c>
      <c r="I18">
        <v>12.28571428571429</v>
      </c>
      <c r="J18">
        <v>0.7857142857142857</v>
      </c>
      <c r="K18">
        <v>6.1549577689438726</v>
      </c>
      <c r="L18">
        <f t="shared" si="0"/>
        <v>-2000.9523809523812</v>
      </c>
      <c r="M18">
        <f t="shared" si="1"/>
        <v>0.17619047619047612</v>
      </c>
      <c r="N18">
        <f t="shared" si="2"/>
        <v>1.7773517508280594</v>
      </c>
    </row>
    <row r="19" spans="1:14" x14ac:dyDescent="0.2">
      <c r="A19">
        <v>26</v>
      </c>
      <c r="B19">
        <v>2086.666666666667</v>
      </c>
      <c r="C19">
        <v>80</v>
      </c>
      <c r="D19">
        <v>0.3666666666666667</v>
      </c>
      <c r="E19">
        <v>18</v>
      </c>
      <c r="F19">
        <v>14.66666666666667</v>
      </c>
      <c r="G19">
        <v>97</v>
      </c>
      <c r="H19">
        <v>3.8</v>
      </c>
      <c r="I19">
        <v>11.66666666666667</v>
      </c>
      <c r="J19">
        <v>0.8666666666666667</v>
      </c>
      <c r="K19">
        <v>7.4926664853252696</v>
      </c>
      <c r="L19">
        <f t="shared" si="0"/>
        <v>2086.666666666667</v>
      </c>
      <c r="M19">
        <f t="shared" si="1"/>
        <v>0.3666666666666667</v>
      </c>
      <c r="N19">
        <f t="shared" si="2"/>
        <v>1.6488299467275711</v>
      </c>
    </row>
    <row r="20" spans="1:14" x14ac:dyDescent="0.2">
      <c r="A20">
        <v>27</v>
      </c>
      <c r="L20">
        <f t="shared" si="0"/>
        <v>-19782.5</v>
      </c>
      <c r="M20">
        <f t="shared" si="1"/>
        <v>-0.43333333333333329</v>
      </c>
      <c r="N20">
        <v>1.5</v>
      </c>
    </row>
    <row r="21" spans="1:14" x14ac:dyDescent="0.2">
      <c r="A21">
        <v>28</v>
      </c>
      <c r="B21">
        <v>19782.5</v>
      </c>
      <c r="C21">
        <v>80</v>
      </c>
      <c r="D21">
        <v>0.43333333333333329</v>
      </c>
      <c r="E21">
        <v>19.25</v>
      </c>
      <c r="F21">
        <v>12.75</v>
      </c>
      <c r="G21">
        <v>92.25</v>
      </c>
      <c r="H21">
        <v>4.0750000000000002</v>
      </c>
      <c r="I21">
        <v>12.75</v>
      </c>
      <c r="J21">
        <v>0.79</v>
      </c>
      <c r="K21">
        <v>2.4310268913742301</v>
      </c>
      <c r="L21">
        <f t="shared" si="0"/>
        <v>-20034.5</v>
      </c>
      <c r="M21">
        <f t="shared" si="1"/>
        <v>0.23333333333333328</v>
      </c>
      <c r="N21">
        <f t="shared" si="2"/>
        <v>2.0866951183681559</v>
      </c>
    </row>
    <row r="22" spans="1:14" x14ac:dyDescent="0.2">
      <c r="A22">
        <v>29</v>
      </c>
      <c r="B22">
        <v>39817</v>
      </c>
      <c r="C22">
        <v>48</v>
      </c>
      <c r="D22">
        <v>0.2</v>
      </c>
      <c r="E22">
        <v>51.5</v>
      </c>
      <c r="F22">
        <v>66.5</v>
      </c>
      <c r="G22">
        <v>104.5</v>
      </c>
      <c r="H22">
        <v>4.05</v>
      </c>
      <c r="I22">
        <v>10.5</v>
      </c>
      <c r="J22">
        <v>0.91</v>
      </c>
      <c r="K22">
        <v>1.692334040848084</v>
      </c>
      <c r="L22">
        <f t="shared" si="0"/>
        <v>38249</v>
      </c>
      <c r="M22">
        <f t="shared" si="1"/>
        <v>-0.40000000000000008</v>
      </c>
      <c r="N22">
        <f t="shared" si="2"/>
        <v>2.9843612772830452</v>
      </c>
    </row>
    <row r="23" spans="1:14" x14ac:dyDescent="0.2">
      <c r="A23">
        <v>30</v>
      </c>
      <c r="B23">
        <v>1568</v>
      </c>
      <c r="C23">
        <v>48</v>
      </c>
      <c r="D23">
        <v>0.60000000000000009</v>
      </c>
      <c r="E23">
        <v>47.5</v>
      </c>
      <c r="F23">
        <v>35</v>
      </c>
      <c r="G23">
        <v>169</v>
      </c>
      <c r="H23">
        <v>4.05</v>
      </c>
      <c r="I23">
        <v>13</v>
      </c>
      <c r="J23">
        <v>0.75</v>
      </c>
      <c r="K23">
        <v>3.4785791010143621</v>
      </c>
      <c r="L23">
        <f t="shared" si="0"/>
        <v>-3820</v>
      </c>
      <c r="M23">
        <f t="shared" si="1"/>
        <v>0.20000000000000007</v>
      </c>
      <c r="N23">
        <f t="shared" si="2"/>
        <v>2.0760090028206903</v>
      </c>
    </row>
    <row r="24" spans="1:14" x14ac:dyDescent="0.2">
      <c r="A24">
        <v>31</v>
      </c>
      <c r="B24">
        <v>5388</v>
      </c>
      <c r="C24">
        <v>48</v>
      </c>
      <c r="D24">
        <v>0.4</v>
      </c>
      <c r="E24">
        <v>53.5</v>
      </c>
      <c r="F24">
        <v>30.5</v>
      </c>
      <c r="G24">
        <v>98</v>
      </c>
      <c r="H24">
        <v>3.7</v>
      </c>
      <c r="I24">
        <v>19.5</v>
      </c>
      <c r="J24">
        <v>1</v>
      </c>
      <c r="K24">
        <v>5.9805468804395474</v>
      </c>
      <c r="L24">
        <f t="shared" si="0"/>
        <v>5204.333333333333</v>
      </c>
      <c r="M24">
        <f t="shared" si="1"/>
        <v>-0.46666666666666667</v>
      </c>
      <c r="N24">
        <f t="shared" si="2"/>
        <v>2.1928286650689324</v>
      </c>
    </row>
    <row r="25" spans="1:14" x14ac:dyDescent="0.2">
      <c r="A25">
        <v>32</v>
      </c>
      <c r="B25">
        <v>183.66666666666671</v>
      </c>
      <c r="C25">
        <v>48</v>
      </c>
      <c r="D25">
        <v>0.8666666666666667</v>
      </c>
      <c r="E25">
        <v>14.66666666666667</v>
      </c>
      <c r="F25">
        <v>10.33333333333333</v>
      </c>
      <c r="G25">
        <v>62</v>
      </c>
      <c r="H25">
        <v>4</v>
      </c>
      <c r="I25">
        <v>13.66666666666667</v>
      </c>
      <c r="J25">
        <v>1.0866666666666669</v>
      </c>
      <c r="K25">
        <v>4.2439544862230907</v>
      </c>
      <c r="L25">
        <f t="shared" si="0"/>
        <v>72.266666666666708</v>
      </c>
      <c r="M25">
        <f t="shared" si="1"/>
        <v>0.22666666666666668</v>
      </c>
      <c r="N25">
        <f t="shared" si="2"/>
        <v>1.7739516745073254</v>
      </c>
    </row>
    <row r="26" spans="1:14" x14ac:dyDescent="0.2">
      <c r="A26">
        <v>33</v>
      </c>
      <c r="B26">
        <v>111.4</v>
      </c>
      <c r="C26">
        <v>48</v>
      </c>
      <c r="D26">
        <v>0.64</v>
      </c>
      <c r="E26">
        <v>34</v>
      </c>
      <c r="F26">
        <v>28.4</v>
      </c>
      <c r="G26">
        <v>87.4</v>
      </c>
      <c r="H26">
        <v>3.84</v>
      </c>
      <c r="I26">
        <v>16</v>
      </c>
      <c r="J26">
        <v>1.0740000000000001</v>
      </c>
      <c r="K26">
        <v>7.1390032050216714</v>
      </c>
    </row>
    <row r="27" spans="1:14" x14ac:dyDescent="0.2">
      <c r="A27" t="s">
        <v>14</v>
      </c>
      <c r="D27">
        <f>AVERAGE(D13:D26)</f>
        <v>0.50782943106618483</v>
      </c>
      <c r="E27">
        <f t="shared" ref="E27:J27" si="3">AVERAGE(E13:E26)</f>
        <v>31.570469123636546</v>
      </c>
      <c r="F27">
        <f t="shared" si="3"/>
        <v>27.021136329733608</v>
      </c>
      <c r="G27">
        <f t="shared" si="3"/>
        <v>97.099706326855639</v>
      </c>
      <c r="H27">
        <f t="shared" si="3"/>
        <v>3.9894407101194433</v>
      </c>
      <c r="I27">
        <f t="shared" si="3"/>
        <v>13.41358340000874</v>
      </c>
      <c r="J27">
        <f t="shared" si="3"/>
        <v>0.88162730030150827</v>
      </c>
      <c r="N27">
        <f>AVERAGE(N2:N25)</f>
        <v>2.0890565046587199</v>
      </c>
    </row>
    <row r="28" spans="1:14" x14ac:dyDescent="0.2">
      <c r="A28" t="s">
        <v>15</v>
      </c>
      <c r="D28" s="4">
        <v>0.56936399999999998</v>
      </c>
      <c r="E28" s="4">
        <v>27.374320000000001</v>
      </c>
      <c r="F28" s="4">
        <v>24.235479999999999</v>
      </c>
      <c r="G28" s="4">
        <v>84.887829999999994</v>
      </c>
      <c r="H28" s="4">
        <v>3.9644900000000001</v>
      </c>
      <c r="I28" s="4">
        <v>13.11002</v>
      </c>
      <c r="J28" s="4">
        <v>0.84948000000000001</v>
      </c>
    </row>
    <row r="30" spans="1:14" x14ac:dyDescent="0.2">
      <c r="A30" t="s">
        <v>16</v>
      </c>
      <c r="D30">
        <f t="shared" ref="D30:J31" si="4">MEDIAN(D16:D29)</f>
        <v>0.52534328696166388</v>
      </c>
      <c r="E30">
        <f t="shared" si="4"/>
        <v>28.615731428571429</v>
      </c>
      <c r="F30">
        <f t="shared" si="4"/>
        <v>25.628308164866802</v>
      </c>
      <c r="G30">
        <f t="shared" si="4"/>
        <v>97.049853163427827</v>
      </c>
      <c r="H30">
        <f t="shared" si="4"/>
        <v>4.0250000000000004</v>
      </c>
      <c r="I30">
        <f t="shared" si="4"/>
        <v>13.055009999999999</v>
      </c>
      <c r="J30">
        <f>MEDIAN(J16:J29)</f>
        <v>0.85807333333333335</v>
      </c>
    </row>
    <row r="31" spans="1:14" x14ac:dyDescent="0.2">
      <c r="A31" t="s">
        <v>17</v>
      </c>
      <c r="D31">
        <f>MEDIAN(D17:D30)</f>
        <v>0.5341002149094034</v>
      </c>
      <c r="E31">
        <f t="shared" si="4"/>
        <v>29.236437142857145</v>
      </c>
      <c r="F31">
        <f t="shared" si="4"/>
        <v>26.324722247300205</v>
      </c>
      <c r="G31">
        <f t="shared" si="4"/>
        <v>97.024926581713913</v>
      </c>
      <c r="H31">
        <f t="shared" si="4"/>
        <v>4.0125000000000002</v>
      </c>
      <c r="I31">
        <f t="shared" si="4"/>
        <v>13.082515000000001</v>
      </c>
      <c r="J31">
        <f t="shared" si="4"/>
        <v>0.86237000000000008</v>
      </c>
    </row>
  </sheetData>
  <pageMargins left="0.75" right="0.75" top="1" bottom="1" header="0.5" footer="0.5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2"/>
  <sheetViews>
    <sheetView topLeftCell="H1" workbookViewId="0">
      <selection activeCell="Q38" sqref="Q38"/>
    </sheetView>
  </sheetViews>
  <sheetFormatPr baseColWidth="10" defaultColWidth="8.83203125" defaultRowHeight="1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/>
      <c r="M1" s="2"/>
    </row>
    <row r="2" spans="1:13" x14ac:dyDescent="0.2">
      <c r="A2">
        <v>9</v>
      </c>
      <c r="B2">
        <v>17228.637806637809</v>
      </c>
      <c r="C2">
        <v>156.60606060606059</v>
      </c>
      <c r="D2">
        <v>0.53981900452488685</v>
      </c>
      <c r="E2">
        <v>39.426724137931032</v>
      </c>
      <c r="F2">
        <v>39.150862068965523</v>
      </c>
      <c r="G2">
        <v>86.962643678160916</v>
      </c>
      <c r="H2">
        <v>3.9817528735632188</v>
      </c>
      <c r="I2">
        <v>11.875</v>
      </c>
      <c r="J2">
        <v>0.81206896551724139</v>
      </c>
      <c r="K2">
        <v>13.40088340107371</v>
      </c>
    </row>
    <row r="3" spans="1:13" x14ac:dyDescent="0.2">
      <c r="A3">
        <v>10</v>
      </c>
      <c r="B3">
        <v>29987.63636363636</v>
      </c>
      <c r="C3">
        <v>80</v>
      </c>
      <c r="D3">
        <v>0.40825688073394489</v>
      </c>
    </row>
    <row r="4" spans="1:13" x14ac:dyDescent="0.2">
      <c r="A4">
        <v>11</v>
      </c>
      <c r="B4">
        <v>42378.479166666657</v>
      </c>
      <c r="C4">
        <v>79.333333333333329</v>
      </c>
      <c r="D4">
        <v>0.47916666666666669</v>
      </c>
      <c r="E4">
        <v>42.3</v>
      </c>
      <c r="F4">
        <v>39.200000000000003</v>
      </c>
      <c r="G4">
        <v>95.08</v>
      </c>
      <c r="H4">
        <v>3.6720000000000002</v>
      </c>
      <c r="I4">
        <v>10.56</v>
      </c>
      <c r="J4">
        <v>0.77599999999999991</v>
      </c>
      <c r="K4">
        <v>9.7662600384198583</v>
      </c>
    </row>
    <row r="5" spans="1:13" x14ac:dyDescent="0.2">
      <c r="A5">
        <v>12</v>
      </c>
      <c r="B5">
        <v>17893.0625</v>
      </c>
      <c r="C5">
        <v>80</v>
      </c>
      <c r="D5">
        <v>0.5757575757575758</v>
      </c>
      <c r="E5">
        <v>26.5</v>
      </c>
      <c r="F5">
        <v>40.5</v>
      </c>
      <c r="G5">
        <v>85.5</v>
      </c>
      <c r="H5">
        <v>4.3499999999999996</v>
      </c>
      <c r="I5">
        <v>9.5</v>
      </c>
      <c r="J5">
        <v>0.75</v>
      </c>
      <c r="K5">
        <v>9.1949414554235531</v>
      </c>
    </row>
    <row r="6" spans="1:13" x14ac:dyDescent="0.2">
      <c r="A6">
        <v>13</v>
      </c>
      <c r="B6">
        <v>18889.259259259259</v>
      </c>
      <c r="C6">
        <v>80</v>
      </c>
      <c r="D6">
        <v>0.41851851851851862</v>
      </c>
      <c r="E6">
        <v>32.620689655172413</v>
      </c>
      <c r="F6">
        <v>31.896551724137929</v>
      </c>
      <c r="G6">
        <v>76.103448275862064</v>
      </c>
      <c r="H6">
        <v>3.886206896551724</v>
      </c>
      <c r="I6">
        <v>13.206896551724141</v>
      </c>
      <c r="J6">
        <v>0.73793103448275854</v>
      </c>
      <c r="K6">
        <v>8.2358760019564752</v>
      </c>
    </row>
    <row r="7" spans="1:13" x14ac:dyDescent="0.2">
      <c r="A7">
        <v>14</v>
      </c>
      <c r="B7">
        <v>8870</v>
      </c>
      <c r="C7">
        <v>80</v>
      </c>
      <c r="D7">
        <v>0.3</v>
      </c>
      <c r="E7">
        <v>35.866666666666667</v>
      </c>
      <c r="F7">
        <v>45</v>
      </c>
      <c r="G7">
        <v>75.066666666666663</v>
      </c>
      <c r="H7">
        <v>4.0666666666666664</v>
      </c>
      <c r="I7">
        <v>13.133333333333329</v>
      </c>
      <c r="J7">
        <v>0.78666666666666674</v>
      </c>
      <c r="K7">
        <v>11.623572121406109</v>
      </c>
    </row>
    <row r="8" spans="1:13" x14ac:dyDescent="0.2">
      <c r="A8">
        <v>15</v>
      </c>
      <c r="B8">
        <v>7665.2666666666664</v>
      </c>
      <c r="C8">
        <v>79.822222222222223</v>
      </c>
      <c r="D8">
        <v>0.6983240223463687</v>
      </c>
      <c r="E8">
        <v>26.71270718232044</v>
      </c>
      <c r="F8">
        <v>28.480662983425411</v>
      </c>
      <c r="G8">
        <v>84.027624309392266</v>
      </c>
      <c r="H8">
        <v>4.086740331491713</v>
      </c>
      <c r="I8">
        <v>11.519337016574591</v>
      </c>
      <c r="J8">
        <v>0.81049723756906067</v>
      </c>
      <c r="K8">
        <v>7.724866790382948</v>
      </c>
    </row>
    <row r="9" spans="1:13" x14ac:dyDescent="0.2">
      <c r="A9">
        <v>16</v>
      </c>
      <c r="B9">
        <v>6945.0680628272248</v>
      </c>
      <c r="C9">
        <v>81.507853403141368</v>
      </c>
      <c r="D9">
        <v>0.65</v>
      </c>
      <c r="E9">
        <v>28.396907216494849</v>
      </c>
      <c r="F9">
        <v>29.742268041237111</v>
      </c>
      <c r="G9">
        <v>83.015463917525778</v>
      </c>
      <c r="H9">
        <v>3.9974226804123711</v>
      </c>
      <c r="I9">
        <v>10.81958762886598</v>
      </c>
      <c r="J9">
        <v>0.72319587628865989</v>
      </c>
      <c r="K9">
        <v>11.74606675977545</v>
      </c>
    </row>
    <row r="10" spans="1:13" x14ac:dyDescent="0.2">
      <c r="A10">
        <v>17</v>
      </c>
      <c r="B10">
        <v>28445.31111111111</v>
      </c>
      <c r="C10">
        <v>80</v>
      </c>
      <c r="D10">
        <v>0.42444444444444451</v>
      </c>
      <c r="E10">
        <v>26.739130434782609</v>
      </c>
      <c r="F10">
        <v>27.565217391304351</v>
      </c>
      <c r="G10">
        <v>82.282608695652172</v>
      </c>
      <c r="H10">
        <v>4.0130434782608697</v>
      </c>
      <c r="I10">
        <v>11.804347826086961</v>
      </c>
      <c r="J10">
        <v>0.76956521739130435</v>
      </c>
      <c r="K10">
        <v>8.2349106237289469</v>
      </c>
    </row>
    <row r="11" spans="1:13" x14ac:dyDescent="0.2">
      <c r="A11">
        <v>18</v>
      </c>
      <c r="B11">
        <v>15220.90909090909</v>
      </c>
      <c r="C11">
        <v>80</v>
      </c>
      <c r="D11">
        <v>0.39090909090909087</v>
      </c>
      <c r="E11">
        <v>22.294117647058819</v>
      </c>
      <c r="F11">
        <v>19.764705882352938</v>
      </c>
      <c r="G11">
        <v>84.852941176470594</v>
      </c>
      <c r="H11">
        <v>3.4235294117647062</v>
      </c>
      <c r="I11">
        <v>11.82352941176471</v>
      </c>
      <c r="J11">
        <v>0.81176470588235294</v>
      </c>
      <c r="K11">
        <v>9.247452883462989</v>
      </c>
    </row>
    <row r="12" spans="1:13" x14ac:dyDescent="0.2">
      <c r="A12">
        <v>19</v>
      </c>
      <c r="B12">
        <v>20557.5</v>
      </c>
      <c r="C12">
        <v>80</v>
      </c>
      <c r="D12">
        <v>0.4916666666666667</v>
      </c>
      <c r="E12">
        <v>22</v>
      </c>
      <c r="F12">
        <v>24.583333333333329</v>
      </c>
      <c r="G12">
        <v>81.5</v>
      </c>
      <c r="H12">
        <v>4</v>
      </c>
      <c r="I12">
        <v>10</v>
      </c>
      <c r="J12">
        <v>0.81666666666666676</v>
      </c>
      <c r="K12">
        <v>9.7801692428880109</v>
      </c>
    </row>
    <row r="13" spans="1:13" x14ac:dyDescent="0.2">
      <c r="A13">
        <v>20</v>
      </c>
      <c r="B13">
        <v>3061.304347826087</v>
      </c>
      <c r="C13">
        <v>80</v>
      </c>
      <c r="D13">
        <v>0.51818181818181819</v>
      </c>
      <c r="E13">
        <v>20.130434782608699</v>
      </c>
      <c r="F13">
        <v>19.304347826086961</v>
      </c>
      <c r="G13">
        <v>77.434782608695656</v>
      </c>
      <c r="H13">
        <v>3.9347826086956519</v>
      </c>
      <c r="I13">
        <v>11.82608695652174</v>
      </c>
      <c r="J13">
        <v>0.75652173913043474</v>
      </c>
      <c r="K13">
        <v>6.5443859829522779</v>
      </c>
    </row>
    <row r="14" spans="1:13" x14ac:dyDescent="0.2">
      <c r="A14">
        <v>21</v>
      </c>
      <c r="B14">
        <v>64060.952380952382</v>
      </c>
      <c r="C14">
        <v>80</v>
      </c>
      <c r="D14">
        <v>0.53157894736842104</v>
      </c>
      <c r="E14">
        <v>23.476190476190471</v>
      </c>
      <c r="F14">
        <v>19.142857142857139</v>
      </c>
      <c r="G14">
        <v>73.047619047619051</v>
      </c>
      <c r="H14">
        <v>3.8666666666666671</v>
      </c>
      <c r="I14">
        <v>13.09523809523809</v>
      </c>
      <c r="J14">
        <v>0.79523809523809519</v>
      </c>
      <c r="K14">
        <v>7.6002833932622957</v>
      </c>
    </row>
    <row r="15" spans="1:13" x14ac:dyDescent="0.2">
      <c r="A15">
        <v>22</v>
      </c>
      <c r="B15">
        <v>3177.5</v>
      </c>
      <c r="C15">
        <v>80</v>
      </c>
      <c r="D15">
        <v>0.52500000000000002</v>
      </c>
      <c r="E15">
        <v>24.416666666666671</v>
      </c>
      <c r="F15">
        <v>21.416666666666671</v>
      </c>
      <c r="G15">
        <v>83.916666666666671</v>
      </c>
      <c r="H15">
        <v>4.05</v>
      </c>
      <c r="I15">
        <v>11.08333333333333</v>
      </c>
      <c r="J15">
        <v>0.8666666666666667</v>
      </c>
      <c r="K15">
        <v>7.1034979898674679</v>
      </c>
    </row>
    <row r="16" spans="1:13" x14ac:dyDescent="0.2">
      <c r="A16">
        <v>23</v>
      </c>
      <c r="B16">
        <v>474.54545454545462</v>
      </c>
      <c r="C16">
        <v>80</v>
      </c>
      <c r="D16">
        <v>0.47272727272727272</v>
      </c>
      <c r="E16">
        <v>27</v>
      </c>
      <c r="F16">
        <v>20.27272727272727</v>
      </c>
      <c r="G16">
        <v>93.727272727272734</v>
      </c>
      <c r="H16">
        <v>3.954545454545455</v>
      </c>
      <c r="I16">
        <v>13.90909090909091</v>
      </c>
      <c r="J16">
        <v>1.0272727272727269</v>
      </c>
      <c r="K16">
        <v>9.9974105526646593</v>
      </c>
    </row>
    <row r="17" spans="1:11" x14ac:dyDescent="0.2">
      <c r="A17">
        <v>24</v>
      </c>
      <c r="B17">
        <v>811.33333333333337</v>
      </c>
      <c r="C17">
        <v>80</v>
      </c>
      <c r="D17">
        <v>0.65</v>
      </c>
      <c r="E17">
        <v>21.375</v>
      </c>
      <c r="F17">
        <v>15.9375</v>
      </c>
      <c r="G17">
        <v>79.3125</v>
      </c>
      <c r="H17">
        <v>4.0125000000000002</v>
      </c>
      <c r="I17">
        <v>12.8125</v>
      </c>
      <c r="J17">
        <v>0.81874999999999998</v>
      </c>
      <c r="K17">
        <v>7.5995500484654421</v>
      </c>
    </row>
    <row r="18" spans="1:11" x14ac:dyDescent="0.2">
      <c r="A18">
        <v>25</v>
      </c>
      <c r="B18">
        <v>5755</v>
      </c>
      <c r="C18">
        <v>80</v>
      </c>
      <c r="D18">
        <v>0.46250000000000002</v>
      </c>
      <c r="E18">
        <v>21.25</v>
      </c>
      <c r="F18">
        <v>14.75</v>
      </c>
      <c r="G18">
        <v>80.75</v>
      </c>
      <c r="H18">
        <v>4.0999999999999996</v>
      </c>
      <c r="I18">
        <v>10.25</v>
      </c>
      <c r="J18">
        <v>0.77500000000000002</v>
      </c>
      <c r="K18">
        <v>6.6533329525317857</v>
      </c>
    </row>
    <row r="19" spans="1:11" x14ac:dyDescent="0.2">
      <c r="A19">
        <v>26</v>
      </c>
      <c r="B19">
        <v>785</v>
      </c>
      <c r="C19">
        <v>80</v>
      </c>
      <c r="D19">
        <v>0.45</v>
      </c>
      <c r="E19">
        <v>55.25</v>
      </c>
      <c r="F19">
        <v>47</v>
      </c>
      <c r="G19">
        <v>91</v>
      </c>
      <c r="H19">
        <v>3.75</v>
      </c>
      <c r="I19">
        <v>14</v>
      </c>
      <c r="J19">
        <v>0.8</v>
      </c>
      <c r="K19">
        <v>5.7562192704531912</v>
      </c>
    </row>
    <row r="20" spans="1:11" x14ac:dyDescent="0.2">
      <c r="A20">
        <v>27</v>
      </c>
      <c r="B20">
        <v>80</v>
      </c>
      <c r="C20">
        <v>80</v>
      </c>
      <c r="D20">
        <v>0.26666666666666672</v>
      </c>
      <c r="E20">
        <v>37.666666666666657</v>
      </c>
      <c r="F20">
        <v>41.666666666666657</v>
      </c>
      <c r="G20">
        <v>111</v>
      </c>
      <c r="H20">
        <v>4.0666666666666664</v>
      </c>
      <c r="I20">
        <v>12.33333333333333</v>
      </c>
      <c r="J20">
        <v>0.7466666666666667</v>
      </c>
      <c r="K20">
        <v>8.780299689618289</v>
      </c>
    </row>
    <row r="21" spans="1:11" x14ac:dyDescent="0.2">
      <c r="A21">
        <v>28</v>
      </c>
      <c r="B21">
        <v>751.66666666666663</v>
      </c>
      <c r="C21">
        <v>80</v>
      </c>
      <c r="D21">
        <v>0.35</v>
      </c>
      <c r="E21">
        <v>24.333333333333329</v>
      </c>
      <c r="F21">
        <v>21.5</v>
      </c>
      <c r="G21">
        <v>74.666666666666671</v>
      </c>
      <c r="H21">
        <v>3.9833333333333329</v>
      </c>
      <c r="I21">
        <v>12.16666666666667</v>
      </c>
      <c r="J21">
        <v>0.79666666666666675</v>
      </c>
      <c r="K21">
        <v>6.8013785464606906</v>
      </c>
    </row>
    <row r="22" spans="1:11" x14ac:dyDescent="0.2">
      <c r="A22">
        <v>29</v>
      </c>
      <c r="B22">
        <v>56668</v>
      </c>
      <c r="C22">
        <v>48</v>
      </c>
      <c r="D22">
        <v>0.2</v>
      </c>
      <c r="E22">
        <v>17.5</v>
      </c>
      <c r="F22">
        <v>13.5</v>
      </c>
      <c r="G22">
        <v>87</v>
      </c>
      <c r="H22">
        <v>3.85</v>
      </c>
      <c r="I22">
        <v>14</v>
      </c>
      <c r="J22">
        <v>0.85499999999999998</v>
      </c>
      <c r="K22">
        <v>5.9666773846597696</v>
      </c>
    </row>
    <row r="23" spans="1:11" x14ac:dyDescent="0.2">
      <c r="A23">
        <v>30</v>
      </c>
      <c r="B23">
        <v>63.285714285714278</v>
      </c>
      <c r="C23">
        <v>48</v>
      </c>
      <c r="D23">
        <v>0.51428571428571435</v>
      </c>
      <c r="E23">
        <v>24.285714285714281</v>
      </c>
      <c r="F23">
        <v>17.285714285714281</v>
      </c>
      <c r="G23">
        <v>74.571428571428569</v>
      </c>
      <c r="H23">
        <v>4.2571428571428571</v>
      </c>
      <c r="I23">
        <v>14.571428571428569</v>
      </c>
      <c r="J23">
        <v>0.84714285714285709</v>
      </c>
      <c r="K23">
        <v>7.3531490643049713</v>
      </c>
    </row>
    <row r="24" spans="1:11" x14ac:dyDescent="0.2">
      <c r="A24">
        <v>31</v>
      </c>
      <c r="B24">
        <v>98.333333333333329</v>
      </c>
      <c r="C24">
        <v>48</v>
      </c>
      <c r="D24">
        <v>0.70000000000000007</v>
      </c>
      <c r="E24">
        <v>37</v>
      </c>
      <c r="F24">
        <v>23</v>
      </c>
      <c r="G24">
        <v>115.3333333333333</v>
      </c>
      <c r="H24">
        <v>3.8</v>
      </c>
      <c r="I24">
        <v>11</v>
      </c>
      <c r="J24">
        <v>0.88</v>
      </c>
      <c r="K24">
        <v>6.2924571028145184</v>
      </c>
    </row>
    <row r="25" spans="1:11" x14ac:dyDescent="0.2">
      <c r="A25">
        <v>32</v>
      </c>
      <c r="B25">
        <v>891.2</v>
      </c>
      <c r="C25">
        <v>48</v>
      </c>
      <c r="D25">
        <v>0.65999999999999992</v>
      </c>
      <c r="E25">
        <v>19.8</v>
      </c>
      <c r="F25">
        <v>17</v>
      </c>
      <c r="G25">
        <v>95.2</v>
      </c>
      <c r="H25">
        <v>3.94</v>
      </c>
      <c r="I25">
        <v>15.2</v>
      </c>
      <c r="J25">
        <v>1.03</v>
      </c>
      <c r="K25">
        <v>8.8443687364246237</v>
      </c>
    </row>
    <row r="26" spans="1:11" x14ac:dyDescent="0.2">
      <c r="A26">
        <v>33</v>
      </c>
      <c r="B26">
        <v>121.40909090909091</v>
      </c>
      <c r="C26">
        <v>48</v>
      </c>
      <c r="D26">
        <v>0.85909090909090902</v>
      </c>
      <c r="E26">
        <v>25.666666666666671</v>
      </c>
      <c r="F26">
        <v>23.666666666666671</v>
      </c>
      <c r="G26">
        <v>98.523809523809518</v>
      </c>
      <c r="H26">
        <v>4.1809523809523812</v>
      </c>
      <c r="I26">
        <v>14.047619047619049</v>
      </c>
      <c r="J26">
        <v>0.82666666666666666</v>
      </c>
      <c r="K26">
        <v>8.5977893237221217</v>
      </c>
    </row>
    <row r="27" spans="1:11" x14ac:dyDescent="0.2">
      <c r="A27">
        <v>34</v>
      </c>
      <c r="B27">
        <v>290.72000000000003</v>
      </c>
      <c r="C27">
        <v>20</v>
      </c>
      <c r="D27">
        <v>0.6875</v>
      </c>
      <c r="E27">
        <v>21</v>
      </c>
      <c r="F27">
        <v>18.875</v>
      </c>
      <c r="G27">
        <v>88.75</v>
      </c>
      <c r="H27">
        <v>4.1625000000000014</v>
      </c>
      <c r="I27">
        <v>16.041666666666671</v>
      </c>
      <c r="J27">
        <v>1.257916666666667</v>
      </c>
    </row>
    <row r="28" spans="1:11" x14ac:dyDescent="0.2">
      <c r="A28">
        <v>35</v>
      </c>
      <c r="B28">
        <v>2682.6764705882351</v>
      </c>
      <c r="C28">
        <v>20</v>
      </c>
      <c r="D28">
        <v>0.76764705882352946</v>
      </c>
      <c r="E28">
        <v>20.94285714285714</v>
      </c>
      <c r="F28">
        <v>17.62857142857143</v>
      </c>
      <c r="G28">
        <v>81.428571428571431</v>
      </c>
      <c r="H28">
        <v>4.1628571428571428</v>
      </c>
      <c r="I28">
        <v>12.37142857142857</v>
      </c>
      <c r="J28">
        <v>0.87542857142857144</v>
      </c>
    </row>
    <row r="29" spans="1:11" x14ac:dyDescent="0.2">
      <c r="A29">
        <v>36</v>
      </c>
      <c r="B29">
        <v>149.81818181818181</v>
      </c>
      <c r="C29">
        <v>20</v>
      </c>
      <c r="D29">
        <v>0.74</v>
      </c>
      <c r="E29">
        <v>23.36363636363636</v>
      </c>
      <c r="F29">
        <v>19.72727272727273</v>
      </c>
      <c r="G29">
        <v>109.09090909090909</v>
      </c>
      <c r="H29">
        <v>4.1454545454545464</v>
      </c>
      <c r="I29">
        <v>13.09090909090909</v>
      </c>
      <c r="J29">
        <v>0.84545454545454557</v>
      </c>
    </row>
    <row r="30" spans="1:11" x14ac:dyDescent="0.2">
      <c r="A30">
        <v>37</v>
      </c>
      <c r="B30">
        <v>44</v>
      </c>
      <c r="C30">
        <v>20</v>
      </c>
      <c r="D30">
        <v>0.55000000000000004</v>
      </c>
      <c r="E30">
        <v>17.333333333333329</v>
      </c>
      <c r="F30">
        <v>13.5</v>
      </c>
      <c r="G30">
        <v>87.666666666666671</v>
      </c>
      <c r="H30">
        <v>4.2666666666666666</v>
      </c>
      <c r="I30">
        <v>13</v>
      </c>
      <c r="J30">
        <v>0.84666666666666668</v>
      </c>
    </row>
    <row r="31" spans="1:11" x14ac:dyDescent="0.2">
      <c r="A31">
        <v>39</v>
      </c>
      <c r="B31">
        <v>36</v>
      </c>
      <c r="C31">
        <v>20</v>
      </c>
      <c r="D31">
        <v>0.55000000000000004</v>
      </c>
      <c r="E31">
        <v>16.5</v>
      </c>
      <c r="F31">
        <v>13.5</v>
      </c>
      <c r="G31">
        <v>68</v>
      </c>
      <c r="H31">
        <v>4.3</v>
      </c>
      <c r="I31">
        <v>19.5</v>
      </c>
      <c r="J31">
        <v>0.88</v>
      </c>
    </row>
    <row r="32" spans="1:11" x14ac:dyDescent="0.2">
      <c r="A32">
        <v>41</v>
      </c>
      <c r="B32">
        <v>20</v>
      </c>
      <c r="C32">
        <v>20</v>
      </c>
      <c r="D32">
        <v>0.4</v>
      </c>
      <c r="E32">
        <v>20</v>
      </c>
      <c r="F32">
        <v>15</v>
      </c>
      <c r="G32">
        <v>124</v>
      </c>
      <c r="H32">
        <v>4.0999999999999996</v>
      </c>
      <c r="I32">
        <v>10</v>
      </c>
      <c r="J32">
        <v>1</v>
      </c>
    </row>
  </sheetData>
  <pageMargins left="0.75" right="0.75" top="1" bottom="1" header="0.5" footer="0.5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8"/>
  <sheetViews>
    <sheetView tabSelected="1" topLeftCell="O5" workbookViewId="0">
      <selection activeCell="AS29" sqref="AS29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13</v>
      </c>
      <c r="M1" s="2" t="s">
        <v>12</v>
      </c>
      <c r="N1" s="2" t="s">
        <v>18</v>
      </c>
    </row>
    <row r="2" spans="1:14" ht="17" x14ac:dyDescent="0.2">
      <c r="A2">
        <v>9</v>
      </c>
      <c r="B2">
        <v>19115.984790874529</v>
      </c>
      <c r="C2">
        <v>151.7262357414449</v>
      </c>
      <c r="D2">
        <v>0.50594059405940595</v>
      </c>
      <c r="E2">
        <v>38.587570621468927</v>
      </c>
      <c r="F2">
        <v>37.951035781544263</v>
      </c>
      <c r="G2">
        <v>87.312617702448208</v>
      </c>
      <c r="H2">
        <v>3.979284369114878</v>
      </c>
      <c r="I2">
        <v>11.98305084745763</v>
      </c>
      <c r="J2">
        <v>0.80451977401129937</v>
      </c>
      <c r="K2">
        <v>12.30029010449055</v>
      </c>
      <c r="L2">
        <f>B2-B3</f>
        <v>-6256.8059067998911</v>
      </c>
      <c r="M2">
        <f>D2-D3</f>
        <v>5.3067030841015161E-2</v>
      </c>
      <c r="N2" s="5">
        <f>B2/MAX($B$2:$B$26)+SQRT((C2/MAX($C$2:$C$26))^2+(D2/MAX($D$2:$D$26))^2+(E2/MAX($E$2:$E$26))^2+(F2/MAX($F$2:$F$26))^2+(G2/MAX($G$2:$G$26))^2+(H2/MAX($H$2:$H$26))^2+(I2/MAX($I$2:$I$26))^2+(J2/MAX($J$2:$J$26))^2)</f>
        <v>2.3557889892657462</v>
      </c>
    </row>
    <row r="3" spans="1:14" ht="17" x14ac:dyDescent="0.2">
      <c r="A3">
        <v>10</v>
      </c>
      <c r="B3">
        <v>25372.79069767442</v>
      </c>
      <c r="C3">
        <v>80</v>
      </c>
      <c r="D3">
        <v>0.45287356321839078</v>
      </c>
      <c r="L3">
        <f t="shared" ref="L3:L25" si="0">B3-B4</f>
        <v>-9928.4214235377003</v>
      </c>
      <c r="M3">
        <f t="shared" ref="M3:M25" si="1">D3-D4</f>
        <v>-8.416759362254389E-3</v>
      </c>
      <c r="N3" s="5">
        <f t="shared" ref="N3:N26" si="2">B3/MAX($B$2:$B$26)+SQRT((C3/MAX($C$2:$C$26))^2+(D3/MAX($D$2:$D$26))^2+(E3/MAX($E$2:$E$26))^2+(F3/MAX($F$2:$F$26))^2+(G3/MAX($G$2:$G$26))^2+(H3/MAX($H$2:$H$26))^2+(I3/MAX($I$2:$I$26))^2+(J3/MAX($J$2:$J$26))^2)</f>
        <v>1.1939216201678697</v>
      </c>
    </row>
    <row r="4" spans="1:14" ht="17" x14ac:dyDescent="0.2">
      <c r="A4">
        <v>11</v>
      </c>
      <c r="B4">
        <v>35301.21212121212</v>
      </c>
      <c r="C4">
        <v>80</v>
      </c>
      <c r="D4">
        <v>0.46129032258064517</v>
      </c>
      <c r="E4">
        <v>32.970588235294123</v>
      </c>
      <c r="F4">
        <v>33.5</v>
      </c>
      <c r="G4">
        <v>80.235294117647058</v>
      </c>
      <c r="H4">
        <v>3.55</v>
      </c>
      <c r="I4">
        <v>10.91176470588235</v>
      </c>
      <c r="J4">
        <v>0.71176470588235297</v>
      </c>
      <c r="K4">
        <v>8.8874666518280439</v>
      </c>
      <c r="L4">
        <f t="shared" si="0"/>
        <v>-22796.491582491581</v>
      </c>
      <c r="M4">
        <f t="shared" si="1"/>
        <v>-1.3709677419354804E-2</v>
      </c>
      <c r="N4" s="5">
        <f t="shared" si="2"/>
        <v>2.2674669149376934</v>
      </c>
    </row>
    <row r="5" spans="1:14" ht="17" x14ac:dyDescent="0.2">
      <c r="A5">
        <v>12</v>
      </c>
      <c r="B5">
        <v>58097.703703703701</v>
      </c>
      <c r="C5">
        <v>80</v>
      </c>
      <c r="D5">
        <v>0.47499999999999998</v>
      </c>
      <c r="E5">
        <v>70</v>
      </c>
      <c r="F5">
        <v>38.5</v>
      </c>
      <c r="G5">
        <v>228</v>
      </c>
      <c r="H5">
        <v>4.1500000000000004</v>
      </c>
      <c r="I5">
        <v>9</v>
      </c>
      <c r="J5">
        <v>0.55000000000000004</v>
      </c>
      <c r="K5">
        <v>10.24102061928212</v>
      </c>
      <c r="L5">
        <f t="shared" si="0"/>
        <v>41048.560846560838</v>
      </c>
      <c r="M5">
        <f t="shared" si="1"/>
        <v>3.9705882352941202E-2</v>
      </c>
      <c r="N5" s="5">
        <f t="shared" si="2"/>
        <v>3.1173055244594723</v>
      </c>
    </row>
    <row r="6" spans="1:14" ht="17" x14ac:dyDescent="0.2">
      <c r="A6">
        <v>13</v>
      </c>
      <c r="B6">
        <v>17049.142857142859</v>
      </c>
      <c r="C6">
        <v>80</v>
      </c>
      <c r="D6">
        <v>0.43529411764705878</v>
      </c>
      <c r="E6">
        <v>38.542857142857137</v>
      </c>
      <c r="F6">
        <v>33.25714285714286</v>
      </c>
      <c r="G6">
        <v>81.571428571428569</v>
      </c>
      <c r="H6">
        <v>4.0199999999999996</v>
      </c>
      <c r="I6">
        <v>13.857142857142859</v>
      </c>
      <c r="J6">
        <v>1.111428571428571</v>
      </c>
      <c r="K6">
        <v>7.8323456851370548</v>
      </c>
      <c r="L6">
        <f t="shared" si="0"/>
        <v>15321.838509316771</v>
      </c>
      <c r="M6">
        <f t="shared" si="1"/>
        <v>2.5770308123249264E-2</v>
      </c>
      <c r="N6" s="5">
        <f t="shared" si="2"/>
        <v>2.2548072200689671</v>
      </c>
    </row>
    <row r="7" spans="1:14" ht="17" x14ac:dyDescent="0.2">
      <c r="A7">
        <v>14</v>
      </c>
      <c r="B7">
        <v>1727.304347826087</v>
      </c>
      <c r="C7">
        <v>78.608695652173907</v>
      </c>
      <c r="D7">
        <v>0.40952380952380951</v>
      </c>
      <c r="E7">
        <v>36.086956521739133</v>
      </c>
      <c r="F7">
        <v>38.565217391304351</v>
      </c>
      <c r="G7">
        <v>83.086956521739125</v>
      </c>
      <c r="H7">
        <v>4.2</v>
      </c>
      <c r="I7">
        <v>14.39130434782609</v>
      </c>
      <c r="J7">
        <v>0.82608695652173914</v>
      </c>
      <c r="K7">
        <v>9.6722774674361531</v>
      </c>
      <c r="L7">
        <f t="shared" si="0"/>
        <v>-5416.1834570519613</v>
      </c>
      <c r="M7">
        <f t="shared" si="1"/>
        <v>-0.1992261904761905</v>
      </c>
      <c r="N7" s="5">
        <f t="shared" si="2"/>
        <v>1.9167091022004867</v>
      </c>
    </row>
    <row r="8" spans="1:14" ht="17" x14ac:dyDescent="0.2">
      <c r="A8">
        <v>15</v>
      </c>
      <c r="B8">
        <v>7143.4878048780483</v>
      </c>
      <c r="C8">
        <v>79.609756097560975</v>
      </c>
      <c r="D8">
        <v>0.60875000000000001</v>
      </c>
      <c r="E8">
        <v>31.035714285714281</v>
      </c>
      <c r="F8">
        <v>32.523809523809533</v>
      </c>
      <c r="G8">
        <v>80.55952380952381</v>
      </c>
      <c r="H8">
        <v>4.05</v>
      </c>
      <c r="I8">
        <v>11.86904761904762</v>
      </c>
      <c r="J8">
        <v>0.88928571428571435</v>
      </c>
      <c r="K8">
        <v>7.4221687559811933</v>
      </c>
      <c r="L8">
        <f t="shared" si="0"/>
        <v>-16062.682649667411</v>
      </c>
      <c r="M8">
        <f t="shared" si="1"/>
        <v>2.6931818181818112E-2</v>
      </c>
      <c r="N8" s="5">
        <f t="shared" si="2"/>
        <v>1.9825511663301336</v>
      </c>
    </row>
    <row r="9" spans="1:14" ht="17" x14ac:dyDescent="0.2">
      <c r="A9">
        <v>16</v>
      </c>
      <c r="B9">
        <v>23206.17045454546</v>
      </c>
      <c r="C9">
        <v>86.909090909090907</v>
      </c>
      <c r="D9">
        <v>0.5818181818181819</v>
      </c>
      <c r="E9">
        <v>29.022471910112358</v>
      </c>
      <c r="F9">
        <v>33.101123595505619</v>
      </c>
      <c r="G9">
        <v>81.955056179775283</v>
      </c>
      <c r="H9">
        <v>4.0674157303370784</v>
      </c>
      <c r="I9">
        <v>10.57303370786517</v>
      </c>
      <c r="J9">
        <v>0.8</v>
      </c>
      <c r="K9">
        <v>9.829796652002182</v>
      </c>
      <c r="L9">
        <f t="shared" si="0"/>
        <v>-3811.8628787878697</v>
      </c>
      <c r="M9">
        <f t="shared" si="1"/>
        <v>7.1818181818181892E-2</v>
      </c>
      <c r="N9" s="5">
        <f t="shared" si="2"/>
        <v>2.1990622431238078</v>
      </c>
    </row>
    <row r="10" spans="1:14" ht="17" x14ac:dyDescent="0.2">
      <c r="A10">
        <v>17</v>
      </c>
      <c r="B10">
        <v>27018.033333333329</v>
      </c>
      <c r="C10">
        <v>80</v>
      </c>
      <c r="D10">
        <v>0.51</v>
      </c>
      <c r="E10">
        <v>46.43333333333333</v>
      </c>
      <c r="F10">
        <v>62</v>
      </c>
      <c r="G10">
        <v>92.13333333333334</v>
      </c>
      <c r="H10">
        <v>3.9233333333333329</v>
      </c>
      <c r="I10">
        <v>12.96666666666667</v>
      </c>
      <c r="J10">
        <v>1.0366666666666671</v>
      </c>
      <c r="K10">
        <v>7.7508772118343376</v>
      </c>
      <c r="L10">
        <f t="shared" si="0"/>
        <v>4794.6242424242409</v>
      </c>
      <c r="M10">
        <f t="shared" si="1"/>
        <v>9.8636363636363633E-2</v>
      </c>
      <c r="N10" s="5">
        <f t="shared" si="2"/>
        <v>2.604334185620548</v>
      </c>
    </row>
    <row r="11" spans="1:14" ht="17" x14ac:dyDescent="0.2">
      <c r="A11">
        <v>18</v>
      </c>
      <c r="B11">
        <v>22223.409090909088</v>
      </c>
      <c r="C11">
        <v>80</v>
      </c>
      <c r="D11">
        <v>0.41136363636363638</v>
      </c>
      <c r="E11">
        <v>27.31111111111111</v>
      </c>
      <c r="F11">
        <v>24.577777777777779</v>
      </c>
      <c r="G11">
        <v>85.022222222222226</v>
      </c>
      <c r="H11">
        <v>3.4866666666666668</v>
      </c>
      <c r="I11">
        <v>10.4</v>
      </c>
      <c r="J11">
        <v>0.34666666666666668</v>
      </c>
      <c r="K11">
        <v>6.4461263501825146</v>
      </c>
      <c r="L11">
        <f t="shared" si="0"/>
        <v>-8326.3409090909117</v>
      </c>
      <c r="M11">
        <f t="shared" si="1"/>
        <v>2.9784688995215303E-2</v>
      </c>
      <c r="N11" s="5">
        <f t="shared" si="2"/>
        <v>1.841029613969249</v>
      </c>
    </row>
    <row r="12" spans="1:14" ht="17" x14ac:dyDescent="0.2">
      <c r="A12">
        <v>19</v>
      </c>
      <c r="B12">
        <v>30549.75</v>
      </c>
      <c r="C12">
        <v>80</v>
      </c>
      <c r="D12">
        <v>0.38157894736842107</v>
      </c>
      <c r="E12">
        <v>27.4</v>
      </c>
      <c r="F12">
        <v>23.074999999999999</v>
      </c>
      <c r="G12">
        <v>91.125</v>
      </c>
      <c r="H12">
        <v>3.915</v>
      </c>
      <c r="I12">
        <v>12.6</v>
      </c>
      <c r="J12">
        <v>0.91750000000000009</v>
      </c>
      <c r="K12">
        <v>7.5297591908910757</v>
      </c>
      <c r="L12">
        <f t="shared" si="0"/>
        <v>22463.788461538461</v>
      </c>
      <c r="M12">
        <f t="shared" si="1"/>
        <v>-7.7244582043343613E-2</v>
      </c>
      <c r="N12" s="5">
        <f t="shared" si="2"/>
        <v>2.2679505172977774</v>
      </c>
    </row>
    <row r="13" spans="1:14" ht="17" x14ac:dyDescent="0.2">
      <c r="A13">
        <v>20</v>
      </c>
      <c r="B13">
        <v>8085.9615384615381</v>
      </c>
      <c r="C13">
        <v>80</v>
      </c>
      <c r="D13">
        <v>0.45882352941176469</v>
      </c>
      <c r="E13">
        <v>25.40384615384615</v>
      </c>
      <c r="F13">
        <v>20.61538461538462</v>
      </c>
      <c r="G13">
        <v>90.65384615384616</v>
      </c>
      <c r="H13">
        <v>3.8634615384615389</v>
      </c>
      <c r="I13">
        <v>12.34615384615385</v>
      </c>
      <c r="J13">
        <v>0.82499999999999996</v>
      </c>
      <c r="K13">
        <v>8.258523415276704</v>
      </c>
      <c r="L13">
        <f t="shared" si="0"/>
        <v>3388.7740384615381</v>
      </c>
      <c r="M13">
        <f t="shared" si="1"/>
        <v>-4.440227703984817E-2</v>
      </c>
      <c r="N13" s="5">
        <f t="shared" si="2"/>
        <v>1.8427799212474036</v>
      </c>
    </row>
    <row r="14" spans="1:14" ht="17" x14ac:dyDescent="0.2">
      <c r="A14">
        <v>21</v>
      </c>
      <c r="B14">
        <v>4697.1875</v>
      </c>
      <c r="C14">
        <v>80</v>
      </c>
      <c r="D14">
        <v>0.50322580645161286</v>
      </c>
      <c r="E14">
        <v>21.151515151515149</v>
      </c>
      <c r="F14">
        <v>19.151515151515149</v>
      </c>
      <c r="G14">
        <v>72.545454545454547</v>
      </c>
      <c r="H14">
        <v>3.8666666666666671</v>
      </c>
      <c r="I14">
        <v>11.75757575757576</v>
      </c>
      <c r="J14">
        <v>0.79696969696969699</v>
      </c>
      <c r="K14">
        <v>7.4014933299703412</v>
      </c>
      <c r="L14">
        <f t="shared" si="0"/>
        <v>-403.13392857142844</v>
      </c>
      <c r="M14">
        <f t="shared" si="1"/>
        <v>4.8053392658509442E-2</v>
      </c>
      <c r="N14" s="5">
        <f t="shared" si="2"/>
        <v>1.7441247580850958</v>
      </c>
    </row>
    <row r="15" spans="1:14" ht="17" x14ac:dyDescent="0.2">
      <c r="A15">
        <v>22</v>
      </c>
      <c r="B15">
        <v>5100.3214285714284</v>
      </c>
      <c r="C15">
        <v>80</v>
      </c>
      <c r="D15">
        <v>0.45517241379310341</v>
      </c>
      <c r="E15">
        <v>26.68965517241379</v>
      </c>
      <c r="F15">
        <v>24.793103448275861</v>
      </c>
      <c r="G15">
        <v>81.896551724137936</v>
      </c>
      <c r="H15">
        <v>3.8586206896551731</v>
      </c>
      <c r="I15">
        <v>12.68965517241379</v>
      </c>
      <c r="J15">
        <v>0.89655172413793105</v>
      </c>
      <c r="K15">
        <v>7.7984539674951137</v>
      </c>
      <c r="L15">
        <f t="shared" si="0"/>
        <v>-4669.6785714285716</v>
      </c>
      <c r="M15">
        <f t="shared" si="1"/>
        <v>0.11142241379310341</v>
      </c>
      <c r="N15" s="5">
        <f t="shared" si="2"/>
        <v>1.8367929507778356</v>
      </c>
    </row>
    <row r="16" spans="1:14" ht="17" x14ac:dyDescent="0.2">
      <c r="A16">
        <v>23</v>
      </c>
      <c r="B16">
        <v>9770</v>
      </c>
      <c r="C16">
        <v>80</v>
      </c>
      <c r="D16">
        <v>0.34375</v>
      </c>
      <c r="E16">
        <v>23.3125</v>
      </c>
      <c r="F16">
        <v>20.875</v>
      </c>
      <c r="G16">
        <v>84.5</v>
      </c>
      <c r="H16">
        <v>4.0750000000000002</v>
      </c>
      <c r="I16">
        <v>14.1875</v>
      </c>
      <c r="J16">
        <v>0.95</v>
      </c>
      <c r="K16">
        <v>7.5496801832047149</v>
      </c>
      <c r="L16">
        <f t="shared" si="0"/>
        <v>2253.5483870967746</v>
      </c>
      <c r="M16">
        <f t="shared" si="1"/>
        <v>-0.22291666666666665</v>
      </c>
      <c r="N16" s="5">
        <f t="shared" si="2"/>
        <v>1.9499748231355505</v>
      </c>
    </row>
    <row r="17" spans="1:14" ht="17" x14ac:dyDescent="0.2">
      <c r="A17">
        <v>24</v>
      </c>
      <c r="B17">
        <v>7516.4516129032254</v>
      </c>
      <c r="C17">
        <v>80</v>
      </c>
      <c r="D17">
        <v>0.56666666666666665</v>
      </c>
      <c r="E17">
        <v>24.366666666666671</v>
      </c>
      <c r="F17">
        <v>17.466666666666669</v>
      </c>
      <c r="G17">
        <v>85.6</v>
      </c>
      <c r="H17">
        <v>3.8966666666666669</v>
      </c>
      <c r="I17">
        <v>12.2</v>
      </c>
      <c r="J17">
        <v>0.80333333333333334</v>
      </c>
      <c r="K17">
        <v>7.5084911795789537</v>
      </c>
      <c r="L17">
        <f t="shared" si="0"/>
        <v>2657.9516129032254</v>
      </c>
      <c r="M17">
        <f t="shared" si="1"/>
        <v>7.6666666666666661E-2</v>
      </c>
      <c r="N17" s="5">
        <f t="shared" si="2"/>
        <v>1.8544970944910992</v>
      </c>
    </row>
    <row r="18" spans="1:14" ht="17" x14ac:dyDescent="0.2">
      <c r="A18">
        <v>25</v>
      </c>
      <c r="B18">
        <v>4858.5</v>
      </c>
      <c r="C18">
        <v>80</v>
      </c>
      <c r="D18">
        <v>0.49</v>
      </c>
      <c r="E18">
        <v>38.65</v>
      </c>
      <c r="F18">
        <v>28.4</v>
      </c>
      <c r="G18">
        <v>82.55</v>
      </c>
      <c r="H18">
        <v>4.165</v>
      </c>
      <c r="I18">
        <v>10.9</v>
      </c>
      <c r="J18">
        <v>0.82</v>
      </c>
      <c r="K18">
        <v>5.9779245741051774</v>
      </c>
      <c r="L18">
        <f t="shared" si="0"/>
        <v>4333.7631578947367</v>
      </c>
      <c r="M18">
        <f t="shared" si="1"/>
        <v>-0.33105263157894738</v>
      </c>
      <c r="N18" s="5">
        <f t="shared" si="2"/>
        <v>1.8731272102948373</v>
      </c>
    </row>
    <row r="19" spans="1:14" ht="17" x14ac:dyDescent="0.2">
      <c r="A19">
        <v>26</v>
      </c>
      <c r="B19">
        <v>524.73684210526312</v>
      </c>
      <c r="C19">
        <v>80</v>
      </c>
      <c r="D19">
        <v>0.82105263157894737</v>
      </c>
      <c r="E19">
        <v>35.842105263157897</v>
      </c>
      <c r="F19">
        <v>35.94736842105263</v>
      </c>
      <c r="G19">
        <v>91</v>
      </c>
      <c r="H19">
        <v>3.7263157894736838</v>
      </c>
      <c r="I19">
        <v>14.42105263157895</v>
      </c>
      <c r="J19">
        <v>0.86315789473684201</v>
      </c>
      <c r="K19">
        <v>7.7699090160515949</v>
      </c>
      <c r="L19">
        <f t="shared" si="0"/>
        <v>100.73684210526312</v>
      </c>
      <c r="M19">
        <f t="shared" si="1"/>
        <v>0.41105263157894739</v>
      </c>
      <c r="N19" s="5">
        <f t="shared" si="2"/>
        <v>2.0374615813127974</v>
      </c>
    </row>
    <row r="20" spans="1:14" ht="17" x14ac:dyDescent="0.2">
      <c r="A20">
        <v>27</v>
      </c>
      <c r="B20">
        <v>424</v>
      </c>
      <c r="C20">
        <v>80</v>
      </c>
      <c r="D20">
        <v>0.41</v>
      </c>
      <c r="E20">
        <v>30</v>
      </c>
      <c r="F20">
        <v>28.5</v>
      </c>
      <c r="G20">
        <v>81.099999999999994</v>
      </c>
      <c r="H20">
        <v>3.8</v>
      </c>
      <c r="I20">
        <v>11.7</v>
      </c>
      <c r="J20">
        <v>0.83399999999999996</v>
      </c>
      <c r="K20">
        <v>8.221632672949033</v>
      </c>
      <c r="L20">
        <f t="shared" si="0"/>
        <v>104.83333333333331</v>
      </c>
      <c r="M20">
        <f t="shared" si="1"/>
        <v>-0.1011111111111111</v>
      </c>
      <c r="N20" s="5">
        <f t="shared" si="2"/>
        <v>1.7081537380039651</v>
      </c>
    </row>
    <row r="21" spans="1:14" ht="17" x14ac:dyDescent="0.2">
      <c r="A21">
        <v>28</v>
      </c>
      <c r="B21">
        <v>319.16666666666669</v>
      </c>
      <c r="C21">
        <v>80</v>
      </c>
      <c r="D21">
        <v>0.51111111111111107</v>
      </c>
      <c r="E21">
        <v>28.888888888888889</v>
      </c>
      <c r="F21">
        <v>27.666666666666671</v>
      </c>
      <c r="G21">
        <v>75.388888888888886</v>
      </c>
      <c r="H21">
        <v>3.8166666666666669</v>
      </c>
      <c r="I21">
        <v>12.72222222222222</v>
      </c>
      <c r="J21">
        <v>0.80833333333333335</v>
      </c>
      <c r="K21">
        <v>7.722895875941858</v>
      </c>
      <c r="L21">
        <f t="shared" si="0"/>
        <v>-18059.690476190473</v>
      </c>
      <c r="M21">
        <f t="shared" si="1"/>
        <v>-3.1746031746031744E-2</v>
      </c>
      <c r="N21" s="5">
        <f t="shared" si="2"/>
        <v>1.7503061912509656</v>
      </c>
    </row>
    <row r="22" spans="1:14" ht="17" x14ac:dyDescent="0.2">
      <c r="A22">
        <v>29</v>
      </c>
      <c r="B22">
        <v>18378.857142857141</v>
      </c>
      <c r="C22">
        <v>48</v>
      </c>
      <c r="D22">
        <v>0.54285714285714282</v>
      </c>
      <c r="E22">
        <v>23</v>
      </c>
      <c r="F22">
        <v>21.571428571428569</v>
      </c>
      <c r="G22">
        <v>70.285714285714292</v>
      </c>
      <c r="H22">
        <v>3.9857142857142849</v>
      </c>
      <c r="I22">
        <v>14.142857142857141</v>
      </c>
      <c r="J22">
        <v>0.74428571428571433</v>
      </c>
      <c r="K22">
        <v>7.9482537491072236</v>
      </c>
      <c r="L22">
        <f t="shared" si="0"/>
        <v>-7056.0840336134497</v>
      </c>
      <c r="M22">
        <f t="shared" si="1"/>
        <v>-6.8907563025210172E-2</v>
      </c>
      <c r="N22" s="5">
        <f t="shared" si="2"/>
        <v>2.0153307878984368</v>
      </c>
    </row>
    <row r="23" spans="1:14" ht="17" x14ac:dyDescent="0.2">
      <c r="A23">
        <v>30</v>
      </c>
      <c r="B23">
        <v>25434.941176470591</v>
      </c>
      <c r="C23">
        <v>48</v>
      </c>
      <c r="D23">
        <v>0.61176470588235299</v>
      </c>
      <c r="E23">
        <v>30.235294117647062</v>
      </c>
      <c r="F23">
        <v>21.764705882352938</v>
      </c>
      <c r="G23">
        <v>99.235294117647058</v>
      </c>
      <c r="H23">
        <v>3.9235294117647062</v>
      </c>
      <c r="I23">
        <v>14.352941176470591</v>
      </c>
      <c r="J23">
        <v>0.82176470588235295</v>
      </c>
      <c r="K23">
        <v>7.0153801295937486</v>
      </c>
      <c r="L23">
        <f t="shared" si="0"/>
        <v>25251.726890756305</v>
      </c>
      <c r="M23">
        <f t="shared" si="1"/>
        <v>-0.14156862745098042</v>
      </c>
      <c r="N23" s="5">
        <f t="shared" si="2"/>
        <v>2.2455024290929337</v>
      </c>
    </row>
    <row r="24" spans="1:14" ht="17" x14ac:dyDescent="0.2">
      <c r="A24">
        <v>31</v>
      </c>
      <c r="B24">
        <v>183.21428571428569</v>
      </c>
      <c r="C24">
        <v>48</v>
      </c>
      <c r="D24">
        <v>0.75333333333333341</v>
      </c>
      <c r="E24">
        <v>26.8</v>
      </c>
      <c r="F24">
        <v>22.266666666666669</v>
      </c>
      <c r="G24">
        <v>80</v>
      </c>
      <c r="H24">
        <v>4.22</v>
      </c>
      <c r="I24">
        <v>16.93333333333333</v>
      </c>
      <c r="J24">
        <v>0.90066666666666662</v>
      </c>
      <c r="K24">
        <v>5.0596557599161356</v>
      </c>
      <c r="L24">
        <f t="shared" si="0"/>
        <v>-439.18571428571431</v>
      </c>
      <c r="M24">
        <f t="shared" si="1"/>
        <v>8.333333333333337E-2</v>
      </c>
      <c r="N24" s="5">
        <f t="shared" si="2"/>
        <v>1.9963098494237534</v>
      </c>
    </row>
    <row r="25" spans="1:14" ht="17" x14ac:dyDescent="0.2">
      <c r="A25">
        <v>32</v>
      </c>
      <c r="B25">
        <v>622.4</v>
      </c>
      <c r="C25">
        <v>48</v>
      </c>
      <c r="D25">
        <v>0.67</v>
      </c>
      <c r="E25">
        <v>24.9</v>
      </c>
      <c r="F25">
        <v>27.8</v>
      </c>
      <c r="G25">
        <v>100.5</v>
      </c>
      <c r="H25">
        <v>4.1399999999999997</v>
      </c>
      <c r="I25">
        <v>12.1</v>
      </c>
      <c r="J25">
        <v>0.83299999999999996</v>
      </c>
      <c r="K25">
        <v>7.4998822412042534</v>
      </c>
      <c r="L25">
        <f t="shared" si="0"/>
        <v>445.85833333333323</v>
      </c>
      <c r="M25">
        <f t="shared" si="1"/>
        <v>-0.16333333333333333</v>
      </c>
      <c r="N25" s="5">
        <f t="shared" si="2"/>
        <v>1.828172155549127</v>
      </c>
    </row>
    <row r="26" spans="1:14" ht="17" x14ac:dyDescent="0.2">
      <c r="A26">
        <v>33</v>
      </c>
      <c r="B26">
        <v>176.54166666666671</v>
      </c>
      <c r="C26">
        <v>48</v>
      </c>
      <c r="D26">
        <v>0.83333333333333337</v>
      </c>
      <c r="E26">
        <v>24</v>
      </c>
      <c r="F26">
        <v>22.478260869565219</v>
      </c>
      <c r="G26">
        <v>93.173913043478265</v>
      </c>
      <c r="H26">
        <v>4.1652173913043473</v>
      </c>
      <c r="I26">
        <v>13.086956521739131</v>
      </c>
      <c r="J26">
        <v>0.99565217391304339</v>
      </c>
      <c r="K26">
        <v>5.1538596218739263</v>
      </c>
      <c r="L26" t="e">
        <f>B26-#REF!</f>
        <v>#REF!</v>
      </c>
      <c r="M26" t="e">
        <f>D26-#REF!</f>
        <v>#REF!</v>
      </c>
      <c r="N26" s="5">
        <f t="shared" si="2"/>
        <v>1.9753717856930681</v>
      </c>
    </row>
    <row r="27" spans="1:14" x14ac:dyDescent="0.2">
      <c r="D27">
        <f>AVERAGE(D13:D26)</f>
        <v>0.56936361960138349</v>
      </c>
      <c r="E27">
        <f t="shared" ref="E27:J27" si="3">AVERAGE(E13:E26)</f>
        <v>27.374319386723972</v>
      </c>
      <c r="F27">
        <f t="shared" si="3"/>
        <v>24.235483354255354</v>
      </c>
      <c r="G27">
        <f t="shared" si="3"/>
        <v>84.887833054226235</v>
      </c>
      <c r="H27">
        <f t="shared" si="3"/>
        <v>3.9644899361695525</v>
      </c>
      <c r="I27">
        <f t="shared" si="3"/>
        <v>13.110017700310339</v>
      </c>
      <c r="J27">
        <f t="shared" si="3"/>
        <v>0.84947966023277954</v>
      </c>
    </row>
    <row r="28" spans="1:14" ht="17" x14ac:dyDescent="0.2">
      <c r="D28">
        <f>MEDIAN(D14:D27)</f>
        <v>0.55476190476190479</v>
      </c>
      <c r="E28">
        <f t="shared" ref="E28:J28" si="4">MEDIAN(E14:E27)</f>
        <v>26.744827586206895</v>
      </c>
      <c r="F28">
        <f t="shared" si="4"/>
        <v>23.356872111910285</v>
      </c>
      <c r="G28">
        <f t="shared" si="4"/>
        <v>83.525000000000006</v>
      </c>
      <c r="H28">
        <f t="shared" si="4"/>
        <v>3.9440096739671295</v>
      </c>
      <c r="I28">
        <f t="shared" si="4"/>
        <v>12.904589371980675</v>
      </c>
      <c r="J28">
        <f t="shared" si="4"/>
        <v>0.83349999999999991</v>
      </c>
      <c r="N28" s="5">
        <f>AVERAGE(N2:N26)</f>
        <v>2.0263532949479446</v>
      </c>
    </row>
  </sheetData>
  <pageMargins left="0.75" right="0.75" top="1" bottom="1" header="0.5" footer="0.5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NNRTI</vt:lpstr>
      <vt:lpstr>NRTI</vt:lpstr>
      <vt:lpstr>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George-Rafael Domenikos</cp:lastModifiedBy>
  <cp:lastPrinted>2023-08-21T01:35:54Z</cp:lastPrinted>
  <dcterms:created xsi:type="dcterms:W3CDTF">2023-07-27T14:41:55Z</dcterms:created>
  <dcterms:modified xsi:type="dcterms:W3CDTF">2023-10-26T16:38:48Z</dcterms:modified>
</cp:coreProperties>
</file>